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Parameters" sheetId="1" r:id="rId1"/>
    <sheet name="Capacity" sheetId="2" r:id="rId2"/>
    <sheet name="GITHUB_EPICS" sheetId="3" r:id="rId3"/>
  </sheets>
  <definedNames>
    <definedName name="_xlnm._FilterDatabase" localSheetId="2" hidden="1">GITHUB_EPICS!$A$1:$L$157</definedName>
    <definedName name="EPICS_ESTIMATE">GITHUB_EPICS!$F$2:$F$199</definedName>
    <definedName name="EPICS_PERIOD">GITHUB_EPICS!$G$2:$G$199</definedName>
    <definedName name="EPICS_STATUS">GITHUB_EPICS!$D$2:$D$199</definedName>
    <definedName name="EPICS_TYPE">GITHUB_EPICS!$E$2:$E$199</definedName>
    <definedName name="PERIODS">Parameters!$A$6:$A$44</definedName>
    <definedName name="PLANNING">Parameters!$A$6:$J$10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m/d/yyyy"/>
    <numFmt numFmtId="165" formatCode="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"/>
  <sheetViews>
    <sheetView workbookViewId="0" rightToLeft="0"/>
  </sheetViews>
  <sheetData>
    <row r="1">
      <c r="A1" t="str">
        <v>Capacity planning for Alkemio</v>
      </c>
    </row>
    <row r="2">
      <c r="A2" t="str">
        <v>This tab provides teams' velocity and overall releases capacity overview based on the current version of 2015 release calendar.</v>
      </c>
    </row>
    <row r="4">
      <c r="A4" t="str">
        <v>Time Period</v>
      </c>
      <c r="B4" t="str">
        <v>Time Period Start</v>
      </c>
      <c r="C4" t="str">
        <v>Time Period End</v>
      </c>
      <c r="D4" t="str">
        <v>Features allocation, %</v>
      </c>
      <c r="E4" t="str">
        <v>Development Sprints available</v>
      </c>
      <c r="F4" t="str">
        <v>Vacations / Done (sprints)</v>
      </c>
      <c r="G4" t="str">
        <v>Available Sprints</v>
      </c>
      <c r="H4" t="str">
        <v>Points / sprint</v>
      </c>
      <c r="I4" t="str">
        <v>Capacity</v>
      </c>
      <c r="J4" t="str">
        <v>Comments</v>
      </c>
    </row>
    <row r="6">
      <c r="A6" t="str">
        <v>2025 Q4</v>
      </c>
      <c r="B6">
        <v>45931</v>
      </c>
      <c r="C6">
        <v>46022</v>
      </c>
      <c r="D6">
        <v>0.7</v>
      </c>
      <c r="E6">
        <f>(C6-B6)/7/2</f>
        <v>6.5</v>
      </c>
      <c r="F6">
        <v>0.5</v>
      </c>
      <c r="G6">
        <f>E6-F6</f>
        <v>6</v>
      </c>
      <c r="H6">
        <v>180</v>
      </c>
      <c r="I6">
        <f>H6*G6*D6</f>
        <v>756</v>
      </c>
    </row>
    <row r="7">
      <c r="A7" t="str">
        <v>2026 Q1</v>
      </c>
      <c r="B7">
        <f>C6</f>
        <v>46022</v>
      </c>
      <c r="C7">
        <v>46112</v>
      </c>
      <c r="D7">
        <v>0.6</v>
      </c>
      <c r="E7">
        <f>(C7-B7)/7/2</f>
        <v>6.428571428571429</v>
      </c>
      <c r="F7">
        <v>0</v>
      </c>
      <c r="G7">
        <f>E7-F7</f>
        <v>6.428571428571429</v>
      </c>
      <c r="H7">
        <v>200</v>
      </c>
      <c r="I7">
        <f>H7*G7*D7</f>
        <v>771.4285714285714</v>
      </c>
      <c r="M7" t="str">
        <v>Note: update to have each period start / end adjustable</v>
      </c>
    </row>
    <row r="8">
      <c r="A8" t="str">
        <v>2026 Q2</v>
      </c>
      <c r="B8">
        <f>C7</f>
        <v>46112</v>
      </c>
      <c r="C8">
        <v>46203</v>
      </c>
      <c r="D8">
        <v>0.5</v>
      </c>
      <c r="E8">
        <f>(C8-B8)/7/2</f>
        <v>6.5</v>
      </c>
      <c r="F8">
        <v>0.5</v>
      </c>
      <c r="G8">
        <f>E8-F8</f>
        <v>6</v>
      </c>
      <c r="H8">
        <v>200</v>
      </c>
      <c r="I8">
        <f>H8*G8*D8</f>
        <v>600</v>
      </c>
    </row>
    <row r="9">
      <c r="A9" t="str">
        <v>2026 Q3</v>
      </c>
      <c r="B9">
        <f>C8</f>
        <v>46203</v>
      </c>
      <c r="C9">
        <v>46295</v>
      </c>
      <c r="D9">
        <v>0.5</v>
      </c>
      <c r="E9">
        <f>(C9-B9)/7/2</f>
        <v>6.571428571428571</v>
      </c>
      <c r="F9">
        <v>0</v>
      </c>
      <c r="G9">
        <f>E9-F9</f>
        <v>6.571428571428571</v>
      </c>
      <c r="H9">
        <v>200</v>
      </c>
      <c r="I9">
        <f>H9*G9*D9</f>
        <v>657.1428571428571</v>
      </c>
    </row>
    <row r="10">
      <c r="A10" t="str">
        <v>2026 Q4</v>
      </c>
      <c r="B10">
        <f>C9</f>
        <v>46295</v>
      </c>
      <c r="C10">
        <v>46387</v>
      </c>
      <c r="D10">
        <v>0.5</v>
      </c>
      <c r="E10">
        <f>(C10-B10)/7/2</f>
        <v>6.571428571428571</v>
      </c>
      <c r="F10">
        <v>0.5</v>
      </c>
      <c r="G10">
        <f>E10-F10</f>
        <v>6.071428571428571</v>
      </c>
      <c r="H10">
        <v>200</v>
      </c>
      <c r="I10">
        <f>H10*G10*D10</f>
        <v>607.1428571428571</v>
      </c>
    </row>
  </sheetData>
  <mergeCells count="11">
    <mergeCell ref="H4:H5"/>
    <mergeCell ref="I4:I5"/>
    <mergeCell ref="A1:D1"/>
    <mergeCell ref="A2:D2"/>
    <mergeCell ref="A4:A5"/>
    <mergeCell ref="C4:C5"/>
    <mergeCell ref="D4:D5"/>
    <mergeCell ref="E4:E5"/>
    <mergeCell ref="B4:B5"/>
    <mergeCell ref="F4:F5"/>
    <mergeCell ref="G4:G5"/>
  </mergeCells>
  <pageMargins left="0.7" right="0.7" top="0.75" bottom="0.75" header="0.511811023622047" footer="0.511811023622047"/>
  <ignoredErrors>
    <ignoredError numberStoredAsText="1" sqref="A1:M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4:M11"/>
  <sheetViews>
    <sheetView workbookViewId="0" rightToLeft="0"/>
  </sheetViews>
  <sheetData>
    <row r="4">
      <c r="A4" t="str">
        <v>Delivery</v>
      </c>
      <c r="B4" t="str">
        <v>Planned</v>
      </c>
      <c r="C4" t="str">
        <v>Available</v>
      </c>
      <c r="D4" t="str">
        <v>Done</v>
      </c>
      <c r="E4" t="str">
        <v>Total</v>
      </c>
      <c r="F4" t="str">
        <v>Functionality: Tactical</v>
      </c>
      <c r="G4" t="str">
        <v>Maintenance</v>
      </c>
      <c r="H4" t="str">
        <v>Operations: Security</v>
      </c>
      <c r="I4" t="str">
        <v>Operations: Effectiveness</v>
      </c>
      <c r="J4" t="str">
        <v>Usability</v>
      </c>
      <c r="K4" t="str">
        <v>Performance</v>
      </c>
      <c r="L4" t="str">
        <v>Functionality: Strategic</v>
      </c>
      <c r="M4" t="str">
        <v>Not specified</v>
      </c>
    </row>
    <row r="5">
      <c r="A5" t="str">
        <v>2023 Q1</v>
      </c>
      <c r="B5">
        <f>SUMIFS(EPICS_ESTIMATE, EPICS_PERIOD, $A5, EPICS_STATUS, "&lt;&gt;Done")</f>
        <v>0</v>
      </c>
      <c r="C5">
        <f>Parameters!I6</f>
        <v>756</v>
      </c>
      <c r="D5">
        <f>SUMIFS(EPICS_ESTIMATE, EPICS_PERIOD, $A5, EPICS_STATUS, "Done")</f>
        <v>0</v>
      </c>
      <c r="E5">
        <f>SUM(Table3[[#This Row],[Done]], Table3[[#This Row],[Planned]])</f>
        <v>0</v>
      </c>
      <c r="F5">
        <f>SUMIFS(EPICS_ESTIMATE, EPICS_PERIOD, $A5, EPICS_TYPE, F$4)</f>
        <v>0</v>
      </c>
      <c r="G5">
        <f>SUMIFS(EPICS_ESTIMATE, EPICS_PERIOD, $A5, EPICS_TYPE, G$4)</f>
        <v>0</v>
      </c>
      <c r="H5">
        <f>SUMIFS(EPICS_ESTIMATE, EPICS_PERIOD, $A5, EPICS_TYPE, H$4)</f>
        <v>0</v>
      </c>
      <c r="I5">
        <f>SUMIFS(EPICS_ESTIMATE, EPICS_PERIOD, $A5, EPICS_TYPE, I$4)</f>
        <v>0</v>
      </c>
      <c r="J5">
        <f>SUMIFS(EPICS_ESTIMATE, EPICS_PERIOD, $A5, EPICS_TYPE, J$4)</f>
        <v>0</v>
      </c>
      <c r="K5">
        <f>SUMIFS(EPICS_ESTIMATE, EPICS_PERIOD, $A5, EPICS_TYPE, K$4)</f>
        <v>0</v>
      </c>
      <c r="L5">
        <f>SUMIFS(EPICS_ESTIMATE, EPICS_PERIOD, $A5, EPICS_TYPE, L$4)</f>
        <v>0</v>
      </c>
      <c r="M5">
        <f>Table3[[#This Row],[Total]]-SUM(F5:L5)</f>
        <v>0</v>
      </c>
    </row>
    <row r="6">
      <c r="A6" t="str">
        <v>2023 Q2</v>
      </c>
      <c r="B6">
        <f>SUMIFS(EPICS_ESTIMATE, EPICS_PERIOD, $A6, EPICS_STATUS, "&lt;&gt;Done")</f>
        <v>0</v>
      </c>
      <c r="C6">
        <f>Parameters!I7</f>
        <v>771.4285714285714</v>
      </c>
      <c r="D6">
        <f>SUMIFS(EPICS_ESTIMATE, EPICS_PERIOD, $A6, EPICS_STATUS, "Done")</f>
        <v>0</v>
      </c>
      <c r="E6">
        <f>SUM(Table3[[#This Row],[Done]], Table3[[#This Row],[Planned]])</f>
        <v>0</v>
      </c>
      <c r="F6">
        <f>SUMIFS(EPICS_ESTIMATE, EPICS_PERIOD, $A6, EPICS_TYPE, F$4)</f>
        <v>0</v>
      </c>
      <c r="G6">
        <f>SUMIFS(EPICS_ESTIMATE, EPICS_PERIOD, $A6, EPICS_TYPE, G$4)</f>
        <v>0</v>
      </c>
      <c r="H6">
        <f>SUMIFS(EPICS_ESTIMATE, EPICS_PERIOD, $A6, EPICS_TYPE, H$4)</f>
        <v>0</v>
      </c>
      <c r="I6">
        <f>SUMIFS(EPICS_ESTIMATE, EPICS_PERIOD, $A6, EPICS_TYPE, I$4)</f>
        <v>0</v>
      </c>
      <c r="J6">
        <f>SUMIFS(EPICS_ESTIMATE, EPICS_PERIOD, $A6, EPICS_TYPE, J$4)</f>
        <v>0</v>
      </c>
      <c r="K6">
        <f>SUMIFS(EPICS_ESTIMATE, EPICS_PERIOD, $A6, EPICS_TYPE, K$4)</f>
        <v>0</v>
      </c>
      <c r="L6">
        <f>SUMIFS(EPICS_ESTIMATE, EPICS_PERIOD, $A6, EPICS_TYPE, L$4)</f>
        <v>0</v>
      </c>
      <c r="M6">
        <f>Table3[[#This Row],[Total]]-SUM(F6:L6)</f>
        <v>0</v>
      </c>
    </row>
    <row r="7">
      <c r="A7" t="str">
        <f>Parameters!A8</f>
        <v>2026 Q2</v>
      </c>
      <c r="B7">
        <f>SUMIFS(EPICS_ESTIMATE, EPICS_PERIOD, $A7, EPICS_STATUS, "&lt;&gt;Done")</f>
        <v>0</v>
      </c>
      <c r="C7">
        <f>Parameters!I8</f>
        <v>600</v>
      </c>
      <c r="D7">
        <f>SUMIFS(EPICS_ESTIMATE, EPICS_PERIOD, $A7, EPICS_STATUS, "Done")</f>
        <v>0</v>
      </c>
      <c r="E7">
        <f>SUM(Table3[[#This Row],[Done]], Table3[[#This Row],[Planned]])</f>
        <v>0</v>
      </c>
      <c r="F7">
        <f>SUMIFS(EPICS_ESTIMATE, EPICS_PERIOD, $A7, EPICS_TYPE, F$4)</f>
        <v>0</v>
      </c>
      <c r="G7">
        <f>SUMIFS(EPICS_ESTIMATE, EPICS_PERIOD, $A7, EPICS_TYPE, G$4)</f>
        <v>0</v>
      </c>
      <c r="H7">
        <f>SUMIFS(EPICS_ESTIMATE, EPICS_PERIOD, $A7, EPICS_TYPE, H$4)</f>
        <v>0</v>
      </c>
      <c r="I7">
        <f>SUMIFS(EPICS_ESTIMATE, EPICS_PERIOD, $A7, EPICS_TYPE, I$4)</f>
        <v>0</v>
      </c>
      <c r="J7">
        <f>SUMIFS(EPICS_ESTIMATE, EPICS_PERIOD, $A7, EPICS_TYPE, J$4)</f>
        <v>0</v>
      </c>
      <c r="K7">
        <f>SUMIFS(EPICS_ESTIMATE, EPICS_PERIOD, $A7, EPICS_TYPE, K$4)</f>
        <v>0</v>
      </c>
      <c r="L7">
        <f>SUMIFS(EPICS_ESTIMATE, EPICS_PERIOD, $A7, EPICS_TYPE, L$4)</f>
        <v>0</v>
      </c>
      <c r="M7">
        <f>Table3[[#This Row],[Total]]-SUM(F7:L7)</f>
        <v>0</v>
      </c>
    </row>
    <row r="8">
      <c r="A8" t="str">
        <f>Parameters!A9</f>
        <v>2026 Q3</v>
      </c>
      <c r="B8">
        <f>SUMIFS(EPICS_ESTIMATE, EPICS_PERIOD, $A8, EPICS_STATUS, "&lt;&gt;Done")</f>
        <v>0</v>
      </c>
      <c r="C8">
        <f>Parameters!I9</f>
        <v>657.1428571428571</v>
      </c>
      <c r="D8">
        <f>SUMIFS(EPICS_ESTIMATE, EPICS_PERIOD, $A8, EPICS_STATUS, "Done")</f>
        <v>0</v>
      </c>
      <c r="E8">
        <f>SUM(Table3[[#This Row],[Done]], Table3[[#This Row],[Planned]])</f>
        <v>0</v>
      </c>
      <c r="F8">
        <f>SUMIFS(EPICS_ESTIMATE, EPICS_PERIOD, $A8, EPICS_TYPE, F$4)</f>
        <v>0</v>
      </c>
      <c r="G8">
        <f>SUMIFS(EPICS_ESTIMATE, EPICS_PERIOD, $A8, EPICS_TYPE, G$4)</f>
        <v>0</v>
      </c>
      <c r="H8">
        <f>SUMIFS(EPICS_ESTIMATE, EPICS_PERIOD, $A8, EPICS_TYPE, H$4)</f>
        <v>0</v>
      </c>
      <c r="I8">
        <f>SUMIFS(EPICS_ESTIMATE, EPICS_PERIOD, $A8, EPICS_TYPE, I$4)</f>
        <v>0</v>
      </c>
      <c r="J8">
        <f>SUMIFS(EPICS_ESTIMATE, EPICS_PERIOD, $A8, EPICS_TYPE, J$4)</f>
        <v>0</v>
      </c>
      <c r="K8">
        <f>SUMIFS(EPICS_ESTIMATE, EPICS_PERIOD, $A8, EPICS_TYPE, K$4)</f>
        <v>0</v>
      </c>
      <c r="L8">
        <f>SUMIFS(EPICS_ESTIMATE, EPICS_PERIOD, $A8, EPICS_TYPE, L$4)</f>
        <v>0</v>
      </c>
      <c r="M8">
        <f>Table3[[#This Row],[Total]]-SUM(F8:L8)</f>
        <v>0</v>
      </c>
    </row>
    <row r="9">
      <c r="A9" t="str">
        <v>2024 Q1</v>
      </c>
      <c r="B9">
        <f>SUMIFS(EPICS_ESTIMATE, EPICS_PERIOD, $A9, EPICS_STATUS, "&lt;&gt;Done")</f>
        <v>0</v>
      </c>
      <c r="C9">
        <f>Parameters!I10</f>
        <v>607.1428571428571</v>
      </c>
      <c r="D9">
        <f>SUMIFS(EPICS_ESTIMATE, EPICS_PERIOD, $A9, EPICS_STATUS, "Done")</f>
        <v>0</v>
      </c>
      <c r="E9">
        <f>SUM(Table3[[#This Row],[Done]], Table3[[#This Row],[Planned]])</f>
        <v>0</v>
      </c>
      <c r="F9">
        <f>SUMIFS(EPICS_ESTIMATE, EPICS_PERIOD, $A9, EPICS_TYPE, F$4)</f>
        <v>0</v>
      </c>
      <c r="G9">
        <f>SUMIFS(EPICS_ESTIMATE, EPICS_PERIOD, $A9, EPICS_TYPE, G$4, EPICS_STATUS, "&lt;&gt;Done")</f>
        <v>0</v>
      </c>
      <c r="H9">
        <f>SUMIFS(EPICS_ESTIMATE, EPICS_PERIOD, $A9, EPICS_TYPE, H$4, EPICS_STATUS, "&lt;&gt;Done")</f>
        <v>0</v>
      </c>
      <c r="I9">
        <f>SUMIFS(EPICS_ESTIMATE, EPICS_PERIOD, $A9, EPICS_TYPE, I$4, EPICS_STATUS, "&lt;&gt;Done")</f>
        <v>0</v>
      </c>
      <c r="J9">
        <f>SUMIFS(EPICS_ESTIMATE, EPICS_PERIOD, $A9, EPICS_TYPE, J$4, EPICS_STATUS, "&lt;&gt;Done")</f>
        <v>0</v>
      </c>
      <c r="K9">
        <f>SUMIFS(EPICS_ESTIMATE, EPICS_PERIOD, $A9, EPICS_TYPE, K$4, EPICS_STATUS, "&lt;&gt;Done")</f>
        <v>0</v>
      </c>
      <c r="L9">
        <f>SUMIFS(EPICS_ESTIMATE, EPICS_PERIOD, $A9, EPICS_TYPE, L$4, EPICS_STATUS, "&lt;&gt;Done")</f>
        <v>0</v>
      </c>
      <c r="M9">
        <f>Table3[[#This Row],[Total]]-SUM(F9:L9)</f>
        <v>0</v>
      </c>
    </row>
    <row r="10">
      <c r="A10" t="str">
        <v>2024 Q2</v>
      </c>
      <c r="B10">
        <f>SUMIFS(EPICS_ESTIMATE, EPICS_PERIOD, $A10, EPICS_STATUS, "&lt;&gt;Done")</f>
        <v>0</v>
      </c>
      <c r="C10">
        <f>Parameters!I10</f>
        <v>607.1428571428571</v>
      </c>
      <c r="D10">
        <f>SUMIFS(EPICS_ESTIMATE, EPICS_PERIOD, $A10, EPICS_STATUS, "Done")</f>
        <v>0</v>
      </c>
      <c r="E10">
        <f>SUM(Table3[[#This Row],[Done]], Table3[[#This Row],[Planned]])</f>
        <v>0</v>
      </c>
      <c r="F10">
        <f>SUMIFS(EPICS_ESTIMATE, EPICS_PERIOD, $A10, EPICS_TYPE, F$4)</f>
        <v>0</v>
      </c>
      <c r="G10">
        <f>SUMIFS(EPICS_ESTIMATE, EPICS_PERIOD, $A10, EPICS_TYPE, G$4, EPICS_STATUS, "&lt;&gt;Done")</f>
        <v>0</v>
      </c>
      <c r="H10">
        <f>SUMIFS(EPICS_ESTIMATE, EPICS_PERIOD, $A10, EPICS_TYPE, H$4, EPICS_STATUS, "&lt;&gt;Done")</f>
        <v>0</v>
      </c>
      <c r="I10">
        <f>SUMIFS(EPICS_ESTIMATE, EPICS_PERIOD, $A10, EPICS_TYPE, I$4, EPICS_STATUS, "&lt;&gt;Done")</f>
        <v>0</v>
      </c>
      <c r="J10">
        <f>SUMIFS(EPICS_ESTIMATE, EPICS_PERIOD, $A10, EPICS_TYPE, J$4, EPICS_STATUS, "&lt;&gt;Done")</f>
        <v>0</v>
      </c>
      <c r="K10">
        <f>SUMIFS(EPICS_ESTIMATE, EPICS_PERIOD, $A10, EPICS_TYPE, K$4, EPICS_STATUS, "&lt;&gt;Done")</f>
        <v>0</v>
      </c>
      <c r="L10">
        <f>SUMIFS(EPICS_ESTIMATE, EPICS_PERIOD, $A10, EPICS_TYPE, L$4, EPICS_STATUS, "&lt;&gt;Done")</f>
        <v>0</v>
      </c>
      <c r="M10">
        <f>Table3[[#This Row],[Total]]-SUM(F10:L10)</f>
        <v>0</v>
      </c>
    </row>
    <row r="11">
      <c r="A11" t="e">
        <f>Parameters!#REF!</f>
        <v>#REF!</v>
      </c>
      <c r="B11">
        <f>SUMIFS(EPICS_ESTIMATE, EPICS_PERIOD, $A11, EPICS_STATUS, "&lt;&gt;Done")</f>
        <v>0</v>
      </c>
      <c r="C11" t="e">
        <f>Parameters!#REF!</f>
        <v>#REF!</v>
      </c>
      <c r="D11">
        <f>SUMIFS(EPICS_ESTIMATE, EPICS_PERIOD, $A11, EPICS_STATUS, "Done")</f>
        <v>0</v>
      </c>
      <c r="E11">
        <f>SUM(Table3[[#This Row],[Done]], Table3[[#This Row],[Planned]])</f>
        <v>0</v>
      </c>
      <c r="F11">
        <f>SUMIFS(EPICS_ESTIMATE, EPICS_PERIOD, $A11, EPICS_TYPE, F$4)</f>
        <v>0</v>
      </c>
      <c r="G11">
        <f>SUMIFS(EPICS_ESTIMATE, EPICS_PERIOD, $A11, EPICS_TYPE, G$4, EPICS_STATUS, "&lt;&gt;Done")</f>
        <v>0</v>
      </c>
      <c r="H11">
        <f>SUMIFS(EPICS_ESTIMATE, EPICS_PERIOD, $A11, EPICS_TYPE, H$4, EPICS_STATUS, "&lt;&gt;Done")</f>
        <v>0</v>
      </c>
      <c r="I11">
        <f>SUMIFS(EPICS_ESTIMATE, EPICS_PERIOD, $A11, EPICS_TYPE, I$4, EPICS_STATUS, "&lt;&gt;Done")</f>
        <v>0</v>
      </c>
      <c r="J11">
        <f>SUMIFS(EPICS_ESTIMATE, EPICS_PERIOD, $A11, EPICS_TYPE, J$4, EPICS_STATUS, "&lt;&gt;Done")</f>
        <v>0</v>
      </c>
      <c r="K11">
        <f>SUMIFS(EPICS_ESTIMATE, EPICS_PERIOD, $A11, EPICS_TYPE, K$4, EPICS_STATUS, "&lt;&gt;Done")</f>
        <v>0</v>
      </c>
      <c r="L11">
        <f>SUMIFS(EPICS_ESTIMATE, EPICS_PERIOD, $A11, EPICS_TYPE, L$4, EPICS_STATUS, "&lt;&gt;Done")</f>
        <v>0</v>
      </c>
      <c r="M11">
        <f>Table3[[#This Row],[Total]]-SUM(F11:L11)</f>
        <v>0</v>
      </c>
    </row>
  </sheetData>
  <pageMargins left="0.7" right="0.7" top="0.75" bottom="0.75" header="0.511811023622047" footer="0.511811023622047"/>
  <ignoredErrors>
    <ignoredError numberStoredAsText="1" sqref="A4:M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U518"/>
  <sheetViews>
    <sheetView workbookViewId="0" rightToLeft="0"/>
  </sheetViews>
  <cols>
    <col min="1" max="1" customWidth="1" width="34"/>
    <col min="2" max="2" customWidth="1" width="25"/>
    <col min="3" max="3" customWidth="1" width="44"/>
    <col min="4" max="4" customWidth="1" width="45"/>
    <col min="5" max="5" customWidth="1" width="94"/>
    <col min="6" max="6" customWidth="1" width="10"/>
    <col min="7" max="7" customWidth="1" width="10"/>
    <col min="8" max="8" customWidth="1" width="10"/>
    <col min="9" max="9" customWidth="1" width="10"/>
    <col min="10" max="10" customWidth="1" width="22"/>
    <col min="11" max="11" customWidth="1" width="12"/>
    <col min="12" max="12" customWidth="1" width="16"/>
    <col min="13" max="13" customWidth="1" width="20"/>
    <col min="14" max="14" customWidth="1" width="10"/>
    <col min="15" max="15" customWidth="1" width="15"/>
    <col min="16" max="16" customWidth="1" width="35"/>
    <col min="17" max="17" customWidth="1" width="25"/>
    <col min="18" max="18" customWidth="1" width="10"/>
    <col min="19" max="19" customWidth="1" width="20"/>
    <col min="20" max="20" customWidth="1" width="10"/>
    <col min="21" max="21" customWidth="1" width="6"/>
  </cols>
  <sheetData>
    <row r="1">
      <c r="A1" t="str">
        <v>Assignees</v>
      </c>
      <c r="B1" t="str">
        <v>Repository</v>
      </c>
      <c r="C1" t="str">
        <v>Labels</v>
      </c>
      <c r="D1" t="str">
        <v>Milestone</v>
      </c>
      <c r="E1" t="str">
        <v>Title</v>
      </c>
      <c r="F1" t="str">
        <v>Sprint</v>
      </c>
      <c r="G1" t="str">
        <v>Quartile</v>
      </c>
      <c r="H1" t="str">
        <v>EpicPointsDone</v>
      </c>
      <c r="I1" t="str">
        <v>EpicPointsRemaining</v>
      </c>
      <c r="J1" t="str">
        <v>Classification</v>
      </c>
      <c r="K1" t="str">
        <v>NewImprovement</v>
      </c>
      <c r="L1" t="str">
        <v>Status</v>
      </c>
      <c r="M1" t="str">
        <v>Feature</v>
      </c>
      <c r="N1" t="str">
        <v>Order</v>
      </c>
      <c r="O1" t="str">
        <v>NonFunctionalArea</v>
      </c>
      <c r="P1" t="str">
        <v>Partner</v>
      </c>
      <c r="Q1" t="str">
        <v>TypeAlkemio</v>
      </c>
      <c r="R1" t="str">
        <v>EpicPoints</v>
      </c>
      <c r="S1" t="str">
        <v>Feature2</v>
      </c>
      <c r="T1" t="str">
        <v>SprintPoints</v>
      </c>
      <c r="U1" t="str">
        <v>FunctionalArea</v>
      </c>
    </row>
    <row r="2">
      <c r="A2" t="str">
        <v>Valentin Yanakiev,Donna</v>
      </c>
      <c r="B2" t="str">
        <v>alkemio</v>
      </c>
      <c r="C2" t="str">
        <v>Epic,Product Discussion</v>
      </c>
      <c r="D2" t="str">
        <v>Improved Confidence in the Platform</v>
      </c>
      <c r="E2" t="str">
        <v>Authentication: Support for public sector identities</v>
      </c>
      <c r="F2" t="str">
        <v>2025-10-14</v>
      </c>
      <c r="G2" t="str">
        <v>2025-10-01</v>
      </c>
      <c r="H2">
        <v>5</v>
      </c>
      <c r="I2">
        <v>8</v>
      </c>
      <c r="J2" t="str">
        <v>Must haves</v>
      </c>
      <c r="K2" t="str">
        <v>Improvements</v>
      </c>
      <c r="L2" t="str">
        <v>In progress</v>
      </c>
    </row>
    <row r="3">
      <c r="A3" t="str">
        <v>Vladimir Aleksiev</v>
      </c>
      <c r="B3" t="str">
        <v>alkemio</v>
      </c>
      <c r="C3" t="str">
        <v>Epic</v>
      </c>
      <c r="E3" t="str">
        <v>VC: Enable prototyping</v>
      </c>
      <c r="F3" t="str">
        <v>2025-09-30</v>
      </c>
      <c r="G3" t="str">
        <v>2025-10-01</v>
      </c>
      <c r="J3" t="str">
        <v>USP/Product Definition</v>
      </c>
      <c r="K3" t="str">
        <v>New features</v>
      </c>
      <c r="L3" t="str">
        <v>In progress</v>
      </c>
      <c r="M3" t="str">
        <v>Virtual Contributors</v>
      </c>
      <c r="N3">
        <v>1</v>
      </c>
    </row>
    <row r="4">
      <c r="A4" t="str">
        <v>Bobby Kolev</v>
      </c>
      <c r="B4" t="str">
        <v>alkemio</v>
      </c>
      <c r="C4" t="str">
        <v>Epic</v>
      </c>
      <c r="E4" t="str">
        <v>Video calling services</v>
      </c>
      <c r="F4" t="str">
        <v>2025-09-30</v>
      </c>
      <c r="G4" t="str">
        <v>2025-10-01</v>
      </c>
      <c r="J4" t="str">
        <v>Must haves</v>
      </c>
      <c r="K4" t="str">
        <v>New features</v>
      </c>
      <c r="L4" t="str">
        <v>In progress</v>
      </c>
    </row>
    <row r="5">
      <c r="A5" t="str">
        <v>Carlos Cano</v>
      </c>
      <c r="B5" t="str">
        <v>alkemio</v>
      </c>
      <c r="C5" t="str">
        <v>Epic</v>
      </c>
      <c r="E5" t="str">
        <v>Callouts: updated UI/UX</v>
      </c>
      <c r="F5" t="str">
        <v>2025-09-30</v>
      </c>
      <c r="G5" t="str">
        <v>2025-10-01</v>
      </c>
      <c r="J5" t="str">
        <v>Must haves</v>
      </c>
      <c r="K5" t="str">
        <v>Improvements</v>
      </c>
      <c r="L5" t="str">
        <v>In progress</v>
      </c>
    </row>
    <row r="6">
      <c r="A6" t="str">
        <v>Bobby Kolev,Evgeni Dimitrov</v>
      </c>
      <c r="B6" t="str">
        <v>alkemio</v>
      </c>
      <c r="C6" t="str">
        <v>Epic,client</v>
      </c>
      <c r="E6" t="str">
        <v>QA: Client Test Suites setup (Spec-kit)</v>
      </c>
      <c r="F6" t="str">
        <v>2025-09-30</v>
      </c>
      <c r="G6" t="str">
        <v>2025-10-01</v>
      </c>
      <c r="J6" t="str">
        <v>Quality/Sustainability</v>
      </c>
      <c r="K6" t="str">
        <v>New features</v>
      </c>
      <c r="L6" t="str">
        <v>In progress</v>
      </c>
      <c r="O6" t="str">
        <v>Maintainability</v>
      </c>
    </row>
    <row r="7">
      <c r="B7" t="str">
        <v>alkemio</v>
      </c>
      <c r="C7" t="str">
        <v>Epic,Align Z-GP</v>
      </c>
      <c r="D7" t="str">
        <v>Products + Licensing</v>
      </c>
      <c r="E7" t="str">
        <v>Licensing: Freeze spaces</v>
      </c>
      <c r="G7" t="str">
        <v>2025-10-01</v>
      </c>
      <c r="J7" t="str">
        <v>Quality/Sustainability</v>
      </c>
      <c r="K7" t="str">
        <v>New features</v>
      </c>
      <c r="L7" t="str">
        <v>Being elaborated</v>
      </c>
    </row>
    <row r="8">
      <c r="A8" t="str">
        <v>Valentin Yanakiev</v>
      </c>
      <c r="B8" t="str">
        <v>alkemio</v>
      </c>
      <c r="C8" t="str">
        <v>Epic,QA</v>
      </c>
      <c r="D8" t="str">
        <v>Improved Confidence in the Platform</v>
      </c>
      <c r="E8" t="str">
        <v>QA Management Tooling + Plan (M)</v>
      </c>
      <c r="G8" t="str">
        <v>2025-10-01</v>
      </c>
      <c r="I8">
        <v>20</v>
      </c>
      <c r="J8" t="str">
        <v>Quality/Sustainability</v>
      </c>
      <c r="K8" t="str">
        <v>New features</v>
      </c>
      <c r="L8" t="str">
        <v>New</v>
      </c>
    </row>
    <row r="9">
      <c r="A9" t="str">
        <v>Bobby Kolev,Donna</v>
      </c>
      <c r="B9" t="str">
        <v>alkemio</v>
      </c>
      <c r="C9" t="str">
        <v>Epic</v>
      </c>
      <c r="D9" t="str">
        <v>Improved Confidence in the Platform</v>
      </c>
      <c r="E9" t="str">
        <v>Monitoring: Q4 errors investigation</v>
      </c>
      <c r="F9" t="str">
        <v>2025-10-28</v>
      </c>
      <c r="G9" t="str">
        <v>2025-10-01</v>
      </c>
      <c r="I9">
        <v>40</v>
      </c>
      <c r="J9" t="str">
        <v>Quality/Sustainability</v>
      </c>
      <c r="K9" t="str">
        <v>New features</v>
      </c>
      <c r="L9" t="str">
        <v>New</v>
      </c>
    </row>
    <row r="10">
      <c r="A10" t="str">
        <v>Valentin Yanakiev</v>
      </c>
      <c r="B10" t="str">
        <v>alkemio</v>
      </c>
      <c r="C10" t="str">
        <v>Epic</v>
      </c>
      <c r="E10" t="str">
        <v>Client Automation (UI) (M)</v>
      </c>
      <c r="G10" t="str">
        <v>2025-10-01</v>
      </c>
      <c r="J10" t="str">
        <v>Quality/Sustainability</v>
      </c>
      <c r="K10" t="str">
        <v>New features</v>
      </c>
      <c r="L10" t="str">
        <v>New</v>
      </c>
    </row>
    <row r="11">
      <c r="B11" t="str">
        <v>alkemio</v>
      </c>
      <c r="C11" t="str">
        <v>Epic,Align Z-GP</v>
      </c>
      <c r="E11" t="str">
        <v>Penetration testing</v>
      </c>
      <c r="G11" t="str">
        <v>2025-10-01</v>
      </c>
      <c r="J11" t="str">
        <v>Quality/Sustainability</v>
      </c>
      <c r="K11" t="str">
        <v>New features</v>
      </c>
      <c r="L11" t="str">
        <v>New</v>
      </c>
    </row>
    <row r="12">
      <c r="A12" t="str">
        <v>Bobby Kolev</v>
      </c>
      <c r="B12" t="str">
        <v>alkemio</v>
      </c>
      <c r="C12" t="str">
        <v>Epic</v>
      </c>
      <c r="E12" t="str">
        <v>Template pack: UI improvements</v>
      </c>
      <c r="F12" t="str">
        <v>2025-09-30</v>
      </c>
      <c r="G12" t="str">
        <v>2025-10-01</v>
      </c>
      <c r="J12" t="str">
        <v>USP/Product Definition</v>
      </c>
      <c r="K12" t="str">
        <v>Improvements</v>
      </c>
      <c r="L12" t="str">
        <v>New</v>
      </c>
      <c r="M12" t="str">
        <v>Templates</v>
      </c>
    </row>
    <row r="13">
      <c r="A13" t="str">
        <v>Bobby Kolev</v>
      </c>
      <c r="B13" t="str">
        <v>alkemio</v>
      </c>
      <c r="C13" t="str">
        <v>Epic</v>
      </c>
      <c r="D13" t="str">
        <v>Notifications: on the platform, per space</v>
      </c>
      <c r="E13" t="str">
        <v>InApp Notifications: GA readiness</v>
      </c>
      <c r="F13" t="str">
        <v>2025-09-30</v>
      </c>
      <c r="G13" t="str">
        <v>2025-10-01</v>
      </c>
      <c r="J13" t="str">
        <v>Must haves</v>
      </c>
      <c r="K13" t="str">
        <v>New features</v>
      </c>
      <c r="L13" t="str">
        <v>In progress</v>
      </c>
      <c r="M13" t="str">
        <v>Notifications</v>
      </c>
      <c r="N13">
        <v>1</v>
      </c>
    </row>
    <row r="14">
      <c r="A14" t="str">
        <v>Valentin Yanakiev</v>
      </c>
      <c r="B14" t="str">
        <v>alkemio</v>
      </c>
      <c r="C14" t="str">
        <v>Epic,Atlas Team,Rhea Team</v>
      </c>
      <c r="E14" t="str">
        <v>Independent issues</v>
      </c>
      <c r="F14" t="str">
        <v>2025-09-30</v>
      </c>
      <c r="G14" t="str">
        <v>2025-10-01</v>
      </c>
      <c r="J14" t="str">
        <v>Must haves</v>
      </c>
      <c r="K14" t="str">
        <v>Improvements</v>
      </c>
      <c r="L14" t="str">
        <v>Being elaborated</v>
      </c>
    </row>
    <row r="15">
      <c r="B15" t="str">
        <v>alkemio</v>
      </c>
      <c r="C15" t="str">
        <v>Epic</v>
      </c>
      <c r="E15" t="str">
        <v>Richer space: media gallery (M)</v>
      </c>
      <c r="G15" t="str">
        <v>2025-10-01</v>
      </c>
      <c r="J15" t="str">
        <v>Must haves</v>
      </c>
      <c r="K15" t="str">
        <v>New features</v>
      </c>
      <c r="L15" t="str">
        <v>Being elaborated</v>
      </c>
    </row>
    <row r="16">
      <c r="B16" t="str">
        <v>alkemio</v>
      </c>
      <c r="C16" t="str">
        <v>Epic,Product Discussion</v>
      </c>
      <c r="D16" t="str">
        <v>User to user messaging on the platform</v>
      </c>
      <c r="E16" t="str">
        <v>User-user messaging (Matrix) (M)</v>
      </c>
      <c r="F16" t="str">
        <v>2025-10-28</v>
      </c>
      <c r="G16" t="str">
        <v>2025-10-01</v>
      </c>
      <c r="J16" t="str">
        <v>Must haves</v>
      </c>
      <c r="K16" t="str">
        <v>New features</v>
      </c>
      <c r="L16" t="str">
        <v>Being elaborated</v>
      </c>
      <c r="P16" t="str">
        <v>Digicampus</v>
      </c>
    </row>
    <row r="17">
      <c r="A17" t="str">
        <v>Vladimir Aleksiev,Svetoslav Petkov</v>
      </c>
      <c r="B17" t="str">
        <v>alkemio</v>
      </c>
      <c r="C17" t="str">
        <v>Epic</v>
      </c>
      <c r="E17" t="str">
        <v>Authorization Checking Service; cleanup (Spec-kit)</v>
      </c>
      <c r="F17" t="str">
        <v>2025-09-30</v>
      </c>
      <c r="G17" t="str">
        <v>2025-10-01</v>
      </c>
      <c r="J17" t="str">
        <v>Quality/Sustainability</v>
      </c>
      <c r="K17" t="str">
        <v>Improvements</v>
      </c>
      <c r="L17" t="str">
        <v>Being defined</v>
      </c>
      <c r="Q17" t="str">
        <v>Performance</v>
      </c>
    </row>
    <row r="18">
      <c r="A18" t="str">
        <v>Bobby Kolev,Svetoslav Petkov</v>
      </c>
      <c r="B18" t="str">
        <v>alkemio</v>
      </c>
      <c r="C18" t="str">
        <v>Epic</v>
      </c>
      <c r="D18" t="str">
        <v>Notifications: on the platform, per space</v>
      </c>
      <c r="E18" t="str">
        <v>Notifications: Controls per space</v>
      </c>
      <c r="F18" t="str">
        <v>2025-10-14</v>
      </c>
      <c r="G18" t="str">
        <v>2025-10-01</v>
      </c>
      <c r="I18">
        <v>30</v>
      </c>
      <c r="J18" t="str">
        <v>Must haves</v>
      </c>
      <c r="K18" t="str">
        <v>Improvements</v>
      </c>
      <c r="L18" t="str">
        <v>Being elaborated</v>
      </c>
      <c r="M18" t="str">
        <v>Notifications</v>
      </c>
      <c r="N18">
        <v>3</v>
      </c>
    </row>
    <row r="19">
      <c r="B19" t="str">
        <v>alkemio</v>
      </c>
      <c r="C19" t="str">
        <v>Epic</v>
      </c>
      <c r="E19" t="str">
        <v>Richer and visible interactions in Space</v>
      </c>
      <c r="F19" t="str">
        <v>2025-10-14</v>
      </c>
      <c r="G19" t="str">
        <v>2025-10-01</v>
      </c>
      <c r="I19">
        <v>30</v>
      </c>
      <c r="J19" t="str">
        <v>Must haves</v>
      </c>
      <c r="K19" t="str">
        <v>Improvements</v>
      </c>
      <c r="L19" t="str">
        <v>Roadmap</v>
      </c>
      <c r="R19">
        <v>30</v>
      </c>
    </row>
    <row r="20">
      <c r="B20" t="str">
        <v>alkemio</v>
      </c>
      <c r="C20" t="str">
        <v>Epic</v>
      </c>
      <c r="D20" t="str">
        <v>Notifications: on the platform, per space</v>
      </c>
      <c r="E20" t="str">
        <v>Notifications: Grouping + additional types</v>
      </c>
      <c r="F20" t="str">
        <v>2025-10-28</v>
      </c>
      <c r="G20" t="str">
        <v>2025-10-01</v>
      </c>
      <c r="I20">
        <v>30</v>
      </c>
      <c r="J20" t="str">
        <v>Must haves</v>
      </c>
      <c r="K20" t="str">
        <v>Improvements</v>
      </c>
      <c r="L20" t="str">
        <v>Being elaborated</v>
      </c>
      <c r="M20" t="str">
        <v>Notifications</v>
      </c>
      <c r="N20">
        <v>4</v>
      </c>
      <c r="R20">
        <v>50</v>
      </c>
    </row>
    <row r="21">
      <c r="A21" t="str">
        <v>Bobby Kolev</v>
      </c>
      <c r="B21" t="str">
        <v>alkemio</v>
      </c>
      <c r="C21" t="str">
        <v>Epic</v>
      </c>
      <c r="E21" t="str">
        <v>Extend set of events for notifications (inapp + email)</v>
      </c>
      <c r="F21" t="str">
        <v>2025-10-14</v>
      </c>
      <c r="G21" t="str">
        <v>2025-10-01</v>
      </c>
      <c r="J21" t="str">
        <v>Must haves</v>
      </c>
      <c r="K21" t="str">
        <v>Improvements</v>
      </c>
      <c r="L21" t="str">
        <v>Being elaborated</v>
      </c>
      <c r="M21" t="str">
        <v>Notifications</v>
      </c>
      <c r="N21">
        <v>2</v>
      </c>
    </row>
    <row r="22">
      <c r="A22" t="str">
        <v>Carlos Cano</v>
      </c>
      <c r="B22" t="str">
        <v>alkemio</v>
      </c>
      <c r="C22" t="str">
        <v>Epic</v>
      </c>
      <c r="E22" t="str">
        <v>Callouts: updated UI/UX v2</v>
      </c>
      <c r="G22" t="str">
        <v>2025-10-01</v>
      </c>
      <c r="J22" t="str">
        <v>Must haves</v>
      </c>
      <c r="K22" t="str">
        <v>Improvements</v>
      </c>
      <c r="L22" t="str">
        <v>New</v>
      </c>
    </row>
    <row r="23">
      <c r="A23" t="str">
        <v>Carlos Cano,Neil Smyth</v>
      </c>
      <c r="B23" t="str">
        <v>alkemio</v>
      </c>
      <c r="C23" t="str">
        <v>Epic,Rhea Team</v>
      </c>
      <c r="D23" t="str">
        <v>Improved Confidence in the Platform</v>
      </c>
      <c r="E23" t="str">
        <v>Inviting an organization into a Space</v>
      </c>
      <c r="G23" t="str">
        <v>2025-10-01</v>
      </c>
      <c r="I23">
        <v>20</v>
      </c>
      <c r="J23" t="str">
        <v>Must haves</v>
      </c>
      <c r="K23" t="str">
        <v>Improvements</v>
      </c>
      <c r="L23" t="str">
        <v>New</v>
      </c>
    </row>
    <row r="24">
      <c r="B24" t="str">
        <v>alkemio</v>
      </c>
      <c r="C24" t="str">
        <v>Epic,Product Discussion</v>
      </c>
      <c r="E24" t="str">
        <v>Inviting users to organization</v>
      </c>
      <c r="G24" t="str">
        <v>2025-10-01</v>
      </c>
      <c r="J24" t="str">
        <v>Must haves</v>
      </c>
      <c r="K24" t="str">
        <v>Improvements</v>
      </c>
      <c r="L24" t="str">
        <v>New</v>
      </c>
    </row>
    <row r="25">
      <c r="A25" t="str">
        <v>Polina Boneva</v>
      </c>
      <c r="B25" t="str">
        <v>alkemio</v>
      </c>
      <c r="C25" t="str">
        <v>Epic</v>
      </c>
      <c r="E25" t="str">
        <v>Memo: Commenting &amp; other Refinements</v>
      </c>
      <c r="G25" t="str">
        <v>2025-10-01</v>
      </c>
      <c r="J25" t="str">
        <v>Must haves</v>
      </c>
      <c r="K25" t="str">
        <v>Improvements</v>
      </c>
      <c r="L25" t="str">
        <v>New</v>
      </c>
    </row>
    <row r="26">
      <c r="B26" t="str">
        <v>alkemio</v>
      </c>
      <c r="C26" t="str">
        <v>Epic</v>
      </c>
      <c r="E26" t="str">
        <v>Subscriptions on all Space pages</v>
      </c>
      <c r="F26" t="str">
        <v>2025-10-28</v>
      </c>
      <c r="G26" t="str">
        <v>2025-10-01</v>
      </c>
      <c r="J26" t="str">
        <v>Must haves</v>
      </c>
      <c r="K26" t="str">
        <v>Improvements</v>
      </c>
      <c r="L26" t="str">
        <v>Being elaborated</v>
      </c>
      <c r="M26" t="str">
        <v>Licensing</v>
      </c>
    </row>
    <row r="27">
      <c r="B27" t="str">
        <v>alkemio</v>
      </c>
      <c r="C27" t="str">
        <v>Epic</v>
      </c>
      <c r="E27" t="str">
        <v>Bucket: Search</v>
      </c>
      <c r="G27" t="str">
        <v>2025-10-01</v>
      </c>
      <c r="J27" t="str">
        <v>Must haves</v>
      </c>
      <c r="K27" t="str">
        <v>Improvements</v>
      </c>
      <c r="L27" t="str">
        <v>Roadmap</v>
      </c>
    </row>
    <row r="28">
      <c r="B28" t="str">
        <v>alkemio</v>
      </c>
      <c r="C28" t="str">
        <v>Epic,Product Team</v>
      </c>
      <c r="E28" t="str">
        <v>Transforming static contributors/subspaces blocks into callouts</v>
      </c>
      <c r="G28" t="str">
        <v>2025-10-01</v>
      </c>
      <c r="J28" t="str">
        <v>Must haves</v>
      </c>
      <c r="K28" t="str">
        <v>Improvements</v>
      </c>
      <c r="L28" t="str">
        <v>New</v>
      </c>
    </row>
    <row r="29">
      <c r="B29" t="str">
        <v>alkemio</v>
      </c>
      <c r="C29" t="str">
        <v>Epic,Atlas Team,Rhea Team</v>
      </c>
      <c r="D29" t="str">
        <v>Notifications: on the platform, per space</v>
      </c>
      <c r="E29" t="str">
        <v>Notifications: Bucket tidy up</v>
      </c>
      <c r="G29" t="str">
        <v>2025-10-01</v>
      </c>
      <c r="J29" t="str">
        <v>Must haves</v>
      </c>
      <c r="K29" t="str">
        <v>Improvements</v>
      </c>
      <c r="L29" t="str">
        <v>New</v>
      </c>
      <c r="M29" t="str">
        <v>Notifications</v>
      </c>
    </row>
    <row r="30">
      <c r="B30" t="str">
        <v>alkemio</v>
      </c>
      <c r="C30" t="str">
        <v>Epic</v>
      </c>
      <c r="D30" t="str">
        <v>Templates: Complete set</v>
      </c>
      <c r="E30" t="str">
        <v>Templates: Interaction Space library and platform library</v>
      </c>
      <c r="F30" t="str">
        <v>2025-10-14</v>
      </c>
      <c r="G30" t="str">
        <v>2025-10-01</v>
      </c>
      <c r="I30">
        <v>30</v>
      </c>
      <c r="J30" t="str">
        <v>USP/Product Definition</v>
      </c>
      <c r="K30" t="str">
        <v>New features</v>
      </c>
      <c r="L30" t="str">
        <v>Being elaborated</v>
      </c>
      <c r="M30" t="str">
        <v>Templates</v>
      </c>
      <c r="N30">
        <v>2</v>
      </c>
      <c r="Q30" t="str">
        <v>Functionality: Strategic</v>
      </c>
      <c r="R30">
        <v>30</v>
      </c>
      <c r="S30" t="str">
        <v>Library</v>
      </c>
    </row>
    <row r="31">
      <c r="B31" t="str">
        <v>alkemio</v>
      </c>
      <c r="C31" t="str">
        <v>Epic</v>
      </c>
      <c r="E31" t="str">
        <v>Converter service: Picture to whiteboard</v>
      </c>
      <c r="F31" t="str">
        <v>2025-10-14</v>
      </c>
      <c r="G31" t="str">
        <v>2025-10-01</v>
      </c>
      <c r="J31" t="str">
        <v>USP/Product Definition</v>
      </c>
      <c r="K31" t="str">
        <v>New features</v>
      </c>
      <c r="L31" t="str">
        <v>New</v>
      </c>
      <c r="M31" t="str">
        <v>Whiteboards</v>
      </c>
    </row>
    <row r="32">
      <c r="A32" t="str">
        <v>Valentin Yanakiev</v>
      </c>
      <c r="B32" t="str">
        <v>alkemio</v>
      </c>
      <c r="C32" t="str">
        <v>Epic</v>
      </c>
      <c r="D32" t="str">
        <v>Improved Confidence in the Platform</v>
      </c>
      <c r="E32" t="str">
        <v>Infrastructure: Maintainability</v>
      </c>
      <c r="G32" t="str">
        <v>2025-10-01</v>
      </c>
      <c r="I32">
        <v>30</v>
      </c>
      <c r="J32" t="str">
        <v>Quality/Sustainability</v>
      </c>
      <c r="K32" t="str">
        <v>Improvements</v>
      </c>
      <c r="L32" t="str">
        <v>Being elaborated</v>
      </c>
      <c r="O32" t="str">
        <v>Maintainability</v>
      </c>
      <c r="Q32" t="str">
        <v>Operations: Effectiveness</v>
      </c>
      <c r="R32">
        <v>30</v>
      </c>
    </row>
    <row r="33">
      <c r="B33" t="str">
        <v>alkemio</v>
      </c>
      <c r="C33" t="str">
        <v>Epic</v>
      </c>
      <c r="D33" t="str">
        <v>Products + Licensing</v>
      </c>
      <c r="E33" t="str">
        <v>Licensing: Entitlement usage inside Spaces</v>
      </c>
      <c r="F33" t="str">
        <v>2025-10-28</v>
      </c>
      <c r="G33" t="str">
        <v>2025-10-01</v>
      </c>
      <c r="J33" t="str">
        <v>Quality/Sustainability</v>
      </c>
      <c r="K33" t="str">
        <v>Improvements</v>
      </c>
      <c r="L33" t="str">
        <v>Being elaborated</v>
      </c>
    </row>
    <row r="34">
      <c r="B34" t="str">
        <v>infrastructure-operations</v>
      </c>
      <c r="C34" t="str">
        <v>operations,Epic,Infrastructure</v>
      </c>
      <c r="E34" t="str">
        <v>Authentication robustness</v>
      </c>
      <c r="F34" t="str">
        <v>2025-10-14</v>
      </c>
      <c r="G34" t="str">
        <v>2025-10-01</v>
      </c>
      <c r="J34" t="str">
        <v>Quality/Sustainability</v>
      </c>
      <c r="K34" t="str">
        <v>Improvements</v>
      </c>
      <c r="L34" t="str">
        <v>New</v>
      </c>
      <c r="O34" t="str">
        <v>Security</v>
      </c>
      <c r="Q34" t="str">
        <v>Operations: Security</v>
      </c>
    </row>
    <row r="35">
      <c r="B35" t="str">
        <v>alkemio</v>
      </c>
      <c r="C35" t="str">
        <v>Epic,Roadmap Discussion,Product Discussion</v>
      </c>
      <c r="E35" t="str">
        <v>Activity Tracking: refresh of contributions monitoring</v>
      </c>
      <c r="G35" t="str">
        <v>2025-10-01</v>
      </c>
      <c r="I35">
        <v>30</v>
      </c>
      <c r="J35" t="str">
        <v>Quality/Sustainability</v>
      </c>
      <c r="K35" t="str">
        <v>Improvements</v>
      </c>
      <c r="L35" t="str">
        <v>Roadmap</v>
      </c>
      <c r="M35" t="str">
        <v>Activity feeds</v>
      </c>
      <c r="Q35" t="str">
        <v>Functionality: Tactical</v>
      </c>
      <c r="R35">
        <v>30</v>
      </c>
    </row>
    <row r="36">
      <c r="B36" t="str">
        <v>alkemio</v>
      </c>
      <c r="C36" t="str">
        <v>Epic</v>
      </c>
      <c r="D36" t="str">
        <v>Products + Licensing</v>
      </c>
      <c r="E36" t="str">
        <v>Licensing: Account management</v>
      </c>
      <c r="G36" t="str">
        <v>2025-10-01</v>
      </c>
      <c r="J36" t="str">
        <v>Quality/Sustainability</v>
      </c>
      <c r="K36" t="str">
        <v>Improvements</v>
      </c>
      <c r="L36" t="str">
        <v>Being elaborated</v>
      </c>
    </row>
    <row r="37">
      <c r="B37" t="str">
        <v>alkemio</v>
      </c>
      <c r="C37" t="str">
        <v>Epic,client,Rhea Team</v>
      </c>
      <c r="E37" t="str">
        <v>React compiler: phase 1</v>
      </c>
      <c r="F37" t="str">
        <v>2025-09-30</v>
      </c>
      <c r="G37" t="str">
        <v>2025-10-01</v>
      </c>
      <c r="J37" t="str">
        <v>Quality/Sustainability</v>
      </c>
      <c r="K37" t="str">
        <v>Improvements</v>
      </c>
      <c r="L37" t="str">
        <v>New</v>
      </c>
    </row>
    <row r="38">
      <c r="B38" t="str">
        <v>alkemio</v>
      </c>
      <c r="C38" t="str">
        <v>Epic</v>
      </c>
      <c r="E38" t="str">
        <v>Client rendering + navigation</v>
      </c>
      <c r="F38" t="str">
        <v>2025-10-14</v>
      </c>
      <c r="G38" t="str">
        <v>2025-10-01</v>
      </c>
      <c r="J38" t="str">
        <v>Quality/Sustainability</v>
      </c>
      <c r="K38" t="str">
        <v>Improvements</v>
      </c>
      <c r="L38" t="str">
        <v>New</v>
      </c>
    </row>
    <row r="39">
      <c r="B39" t="str">
        <v>alkemio</v>
      </c>
      <c r="C39" t="str">
        <v>Epic,Roadmap Discussion,Product Discussion</v>
      </c>
      <c r="E39" t="str">
        <v>Journey settings: challenge, community membership policy</v>
      </c>
      <c r="G39" t="str">
        <v>2025-10-01</v>
      </c>
      <c r="I39">
        <v>20</v>
      </c>
      <c r="J39" t="str">
        <v>Quality/Sustainability</v>
      </c>
      <c r="K39" t="str">
        <v>Improvements</v>
      </c>
      <c r="L39" t="str">
        <v>Defined</v>
      </c>
      <c r="M39" t="str">
        <v>Space mgmt</v>
      </c>
      <c r="Q39" t="str">
        <v>Usability</v>
      </c>
      <c r="R39">
        <v>20</v>
      </c>
      <c r="S39" t="str">
        <v>Community mgmt</v>
      </c>
    </row>
    <row r="40">
      <c r="A40" t="str">
        <v>Svetoslav Petkov</v>
      </c>
      <c r="B40" t="str">
        <v>alkemio</v>
      </c>
      <c r="C40" t="str">
        <v>Epic</v>
      </c>
      <c r="E40" t="str">
        <v>[Bucket] Reducing errors &amp; warnings</v>
      </c>
      <c r="F40" t="str">
        <v>2025-09-30</v>
      </c>
      <c r="G40" t="str">
        <v>2025-10-01</v>
      </c>
      <c r="J40" t="str">
        <v>Quality/Sustainability</v>
      </c>
      <c r="K40" t="str">
        <v>Improvements</v>
      </c>
      <c r="L40" t="str">
        <v>New</v>
      </c>
    </row>
    <row r="41">
      <c r="A41" t="str">
        <v>Neil Smyth</v>
      </c>
      <c r="B41" t="str">
        <v>alkemio</v>
      </c>
      <c r="C41" t="str">
        <v>Epic,client,Product Discussion</v>
      </c>
      <c r="E41" t="str">
        <v>Visible Errors to the user - Improve observability and feedback</v>
      </c>
      <c r="F41" t="str">
        <v>2025-10-14</v>
      </c>
      <c r="G41" t="str">
        <v>2025-10-01</v>
      </c>
      <c r="J41" t="str">
        <v>Quality/Sustainability</v>
      </c>
      <c r="K41" t="str">
        <v>Improvements</v>
      </c>
      <c r="L41" t="str">
        <v>New</v>
      </c>
    </row>
    <row r="42">
      <c r="B42" t="str">
        <v>alkemio</v>
      </c>
      <c r="C42" t="str">
        <v>Epic</v>
      </c>
      <c r="E42" t="str">
        <v>Incident Response Protocol and Improvements</v>
      </c>
      <c r="F42" t="str">
        <v>2025-10-28</v>
      </c>
      <c r="G42" t="str">
        <v>2025-10-01</v>
      </c>
      <c r="J42" t="str">
        <v>Quality/Sustainability</v>
      </c>
      <c r="K42" t="str">
        <v>Improvements</v>
      </c>
      <c r="L42" t="str">
        <v>In progress</v>
      </c>
    </row>
    <row r="43">
      <c r="B43" t="str">
        <v>alkemio</v>
      </c>
      <c r="C43" t="str">
        <v>Epic</v>
      </c>
      <c r="E43" t="str">
        <v>Managing the user-organization + org roles relationship</v>
      </c>
      <c r="G43" t="str">
        <v>2026-04-02</v>
      </c>
      <c r="I43">
        <v>50</v>
      </c>
      <c r="K43" t="str">
        <v>Improvements</v>
      </c>
      <c r="L43" t="str">
        <v>Roadmap</v>
      </c>
      <c r="Q43" t="str">
        <v>Functionality: Tactical</v>
      </c>
      <c r="R43">
        <v>50</v>
      </c>
    </row>
    <row r="44">
      <c r="B44" t="str">
        <v>alkemio</v>
      </c>
      <c r="C44" t="str">
        <v>Epic</v>
      </c>
      <c r="E44" t="str">
        <v>Optimizing Assets: Serve static files/CDN</v>
      </c>
      <c r="G44" t="str">
        <v>2025-10-01</v>
      </c>
      <c r="L44" t="str">
        <v>New</v>
      </c>
      <c r="Q44" t="str">
        <v>Performance</v>
      </c>
    </row>
    <row r="45">
      <c r="B45" t="str">
        <v>alkemio</v>
      </c>
      <c r="C45" t="str">
        <v>Epic,Product Discussion</v>
      </c>
      <c r="E45" t="str">
        <v>Command line utilities for non-devs</v>
      </c>
      <c r="F45" t="str">
        <v>2025-10-28</v>
      </c>
      <c r="G45" t="str">
        <v>2026-04-02</v>
      </c>
      <c r="L45" t="str">
        <v>New</v>
      </c>
      <c r="O45" t="str">
        <v>Platform mgmt</v>
      </c>
    </row>
    <row r="46">
      <c r="A46" t="str">
        <v>Valentin Yanakiev</v>
      </c>
      <c r="B46" t="str">
        <v>alkemio</v>
      </c>
      <c r="C46" t="str">
        <v>Epic</v>
      </c>
      <c r="E46" t="str">
        <v>Sharing/Collaborating with unauthenticated users 2.0: Callouts</v>
      </c>
      <c r="F46" t="str">
        <v>2025-09-30</v>
      </c>
      <c r="G46" t="str">
        <v>2026-04-02</v>
      </c>
      <c r="L46" t="str">
        <v>Being elaborated</v>
      </c>
      <c r="M46" t="str">
        <v>Callouts</v>
      </c>
    </row>
    <row r="47">
      <c r="B47" t="str">
        <v>alkemio</v>
      </c>
      <c r="C47" t="str">
        <v>Epic</v>
      </c>
      <c r="E47" t="str">
        <v>Guided user onboarding (M)</v>
      </c>
      <c r="G47" t="str">
        <v>2026-04-02</v>
      </c>
      <c r="L47" t="str">
        <v>New</v>
      </c>
    </row>
    <row r="48">
      <c r="A48" t="str">
        <v>Valentin Yanakiev</v>
      </c>
      <c r="B48" t="str">
        <v>alkemio</v>
      </c>
      <c r="C48" t="str">
        <v>Epic</v>
      </c>
      <c r="E48" t="str">
        <v>Sharing/Collaborating on Whiteboards with unauthenticated users (L)</v>
      </c>
      <c r="L48" t="str">
        <v>New</v>
      </c>
    </row>
    <row r="49">
      <c r="B49" t="str">
        <v>alkemio</v>
      </c>
      <c r="C49" t="str">
        <v>Epic</v>
      </c>
      <c r="E49" t="str">
        <v>Innovation Flow: settings and default callout content</v>
      </c>
      <c r="F49" t="str">
        <v>2025-10-14</v>
      </c>
      <c r="L49" t="str">
        <v>New</v>
      </c>
    </row>
    <row r="50">
      <c r="A50" t="str">
        <v>Polina Boneva</v>
      </c>
      <c r="B50" t="str">
        <v>alkemio</v>
      </c>
      <c r="C50" t="str">
        <v>Epic,client</v>
      </c>
      <c r="E50" t="str">
        <v>Accessibility: WCAG 2.1 - SPLIT INTO TWO</v>
      </c>
      <c r="F50" t="str">
        <v>2025-10-14</v>
      </c>
      <c r="G50" t="str">
        <v>2026-04-02</v>
      </c>
      <c r="L50" t="str">
        <v>Being elaborated</v>
      </c>
      <c r="O50" t="str">
        <v>Accessibility</v>
      </c>
    </row>
    <row r="51">
      <c r="B51" t="str">
        <v>alkemio</v>
      </c>
      <c r="C51" t="str">
        <v>Epic</v>
      </c>
      <c r="E51" t="str">
        <v>Multiple email support</v>
      </c>
      <c r="L51" t="str">
        <v>Roadmap</v>
      </c>
      <c r="M51" t="str">
        <v>Notifications</v>
      </c>
      <c r="N51">
        <v>5</v>
      </c>
    </row>
    <row r="52">
      <c r="B52" t="str">
        <v>alkemio</v>
      </c>
      <c r="C52" t="str">
        <v>Epic</v>
      </c>
      <c r="E52" t="str">
        <v>Follow a Space / Challenge / Opportunity</v>
      </c>
      <c r="G52" t="str">
        <v>2026-04-02</v>
      </c>
      <c r="L52" t="str">
        <v>Roadmap</v>
      </c>
      <c r="M52" t="str">
        <v>Notifications</v>
      </c>
      <c r="N52">
        <v>5</v>
      </c>
      <c r="Q52" t="str">
        <v>Usability</v>
      </c>
      <c r="R52">
        <v>50</v>
      </c>
    </row>
    <row r="53">
      <c r="B53" t="str">
        <v>alkemio</v>
      </c>
      <c r="C53" t="str">
        <v>Epic</v>
      </c>
      <c r="E53" t="str">
        <v xml:space="preserve">Preference for aggregated of notifications </v>
      </c>
      <c r="L53" t="str">
        <v>Roadmap</v>
      </c>
      <c r="M53" t="str">
        <v>Notifications</v>
      </c>
      <c r="N53">
        <v>4</v>
      </c>
      <c r="Q53" t="str">
        <v>Usability</v>
      </c>
      <c r="R53">
        <v>80</v>
      </c>
    </row>
    <row r="54">
      <c r="A54" t="str">
        <v>Svetoslav Petkov</v>
      </c>
      <c r="B54" t="str">
        <v>alkemio</v>
      </c>
      <c r="C54" t="str">
        <v>Epic,server,Atlas Team</v>
      </c>
      <c r="E54" t="str">
        <v>Memo: Multi-user collaborative document</v>
      </c>
      <c r="F54" t="str">
        <v>2025-09-02</v>
      </c>
      <c r="G54" t="str">
        <v>2025-04-01</v>
      </c>
      <c r="L54" t="str">
        <v>Done</v>
      </c>
    </row>
    <row r="55">
      <c r="B55" t="str">
        <v>alkemio</v>
      </c>
      <c r="C55" t="str">
        <v>Epic,Atlas Team</v>
      </c>
      <c r="D55" t="str">
        <v>Notifications: on the platform, per space</v>
      </c>
      <c r="E55" t="str">
        <v>Notifications Beta tester Improvements</v>
      </c>
      <c r="F55" t="str">
        <v>2025-09-02</v>
      </c>
      <c r="G55" t="str">
        <v>2025-07-01</v>
      </c>
      <c r="L55" t="str">
        <v>Done</v>
      </c>
    </row>
    <row r="56">
      <c r="B56" t="str">
        <v>alkemio</v>
      </c>
      <c r="C56" t="str">
        <v>Epic</v>
      </c>
      <c r="E56" t="str">
        <v>Backup Improvements</v>
      </c>
      <c r="F56" t="str">
        <v>2025-08-19</v>
      </c>
      <c r="G56" t="str">
        <v>2025-07-01</v>
      </c>
      <c r="L56" t="str">
        <v>Done</v>
      </c>
    </row>
    <row r="57">
      <c r="B57" t="str">
        <v>alkemio</v>
      </c>
      <c r="C57" t="str">
        <v>Epic</v>
      </c>
      <c r="E57" t="str">
        <v xml:space="preserve">Client: React 19 </v>
      </c>
      <c r="F57" t="str">
        <v>2025-08-05</v>
      </c>
      <c r="G57" t="str">
        <v>2025-07-01</v>
      </c>
      <c r="L57" t="str">
        <v>Done</v>
      </c>
    </row>
    <row r="58">
      <c r="B58" t="str">
        <v>alkemio</v>
      </c>
      <c r="C58" t="str">
        <v>Epic</v>
      </c>
      <c r="E58" t="str">
        <v>(Sub)Space Templates: Preview + Management</v>
      </c>
      <c r="F58" t="str">
        <v>2025-10-14</v>
      </c>
      <c r="G58" t="str">
        <v>2026-04-02</v>
      </c>
      <c r="L58" t="str">
        <v>New</v>
      </c>
      <c r="M58" t="str">
        <v>Templates</v>
      </c>
    </row>
    <row r="59">
      <c r="B59" t="str">
        <v>alkemio</v>
      </c>
      <c r="C59" t="str">
        <v>Epic</v>
      </c>
      <c r="E59" t="str">
        <v>Calendar events Bucket: Importing/Exporting; flexible time; show events from related sub/space</v>
      </c>
      <c r="F59" t="str">
        <v>2025-10-14</v>
      </c>
      <c r="L59" t="str">
        <v>Being elaborated</v>
      </c>
      <c r="M59" t="str">
        <v>Community mgmt</v>
      </c>
      <c r="O59" t="str">
        <v>Usability</v>
      </c>
      <c r="Q59" t="str">
        <v>Functionality: Tactical</v>
      </c>
    </row>
    <row r="60">
      <c r="B60" t="str">
        <v>infrastructure-operations</v>
      </c>
      <c r="C60" t="str">
        <v>operations,Epic,Infrastructure</v>
      </c>
      <c r="E60" t="str">
        <v>External Penetration Testing [Q4 2025]</v>
      </c>
      <c r="F60" t="str">
        <v>2025-10-14</v>
      </c>
      <c r="L60" t="str">
        <v>Being elaborated</v>
      </c>
      <c r="P60" t="str">
        <v>Avans</v>
      </c>
    </row>
    <row r="61">
      <c r="B61" t="str">
        <v>alkemio</v>
      </c>
      <c r="C61" t="str">
        <v>Epic</v>
      </c>
      <c r="E61" t="str">
        <v>VC improving answers</v>
      </c>
      <c r="F61" t="str">
        <v>2025-08-05</v>
      </c>
      <c r="G61" t="str">
        <v>2025-04-01</v>
      </c>
      <c r="L61" t="str">
        <v>Done</v>
      </c>
      <c r="M61" t="str">
        <v>Virtual Contributors</v>
      </c>
      <c r="N61">
        <v>1</v>
      </c>
    </row>
    <row r="62">
      <c r="B62" t="str">
        <v>alkemio</v>
      </c>
      <c r="C62" t="str">
        <v>Epic</v>
      </c>
      <c r="E62" t="str">
        <v>Client Tech debt: Q4 2025</v>
      </c>
      <c r="G62" t="str">
        <v>2026-04-02</v>
      </c>
      <c r="L62" t="str">
        <v>Being defined</v>
      </c>
    </row>
    <row r="63">
      <c r="B63" t="str">
        <v>alkemio</v>
      </c>
      <c r="C63" t="str">
        <v>Epic</v>
      </c>
      <c r="E63" t="str">
        <v>End-end tracking across welcome site &gt; platform</v>
      </c>
      <c r="F63" t="str">
        <v>2025-10-28</v>
      </c>
      <c r="G63" t="str">
        <v>2026-04-02</v>
      </c>
      <c r="L63" t="str">
        <v>New</v>
      </c>
    </row>
    <row r="64">
      <c r="B64" t="str">
        <v>infrastructure-operations</v>
      </c>
      <c r="C64" t="str">
        <v>operations,QA</v>
      </c>
      <c r="E64" t="str">
        <v>Stress testing the platform</v>
      </c>
      <c r="F64" t="str">
        <v>2025-10-28</v>
      </c>
      <c r="L64" t="str">
        <v>New</v>
      </c>
    </row>
    <row r="65">
      <c r="B65" t="str">
        <v>alkemio</v>
      </c>
      <c r="C65" t="str">
        <v>Epic</v>
      </c>
      <c r="E65" t="str">
        <v>Working on Alkemio as an Organization</v>
      </c>
      <c r="F65" t="str">
        <v>2025-10-28</v>
      </c>
      <c r="G65" t="str">
        <v>2026-04-02</v>
      </c>
      <c r="L65" t="str">
        <v>Being defined</v>
      </c>
    </row>
    <row r="66">
      <c r="B66" t="str">
        <v>alkemio</v>
      </c>
      <c r="C66" t="str">
        <v>Epic</v>
      </c>
      <c r="E66" t="str">
        <v>Matrix scalability</v>
      </c>
      <c r="F66" t="str">
        <v>2025-10-28</v>
      </c>
      <c r="L66" t="str">
        <v>New</v>
      </c>
    </row>
    <row r="67">
      <c r="B67" t="str">
        <v>alkemio</v>
      </c>
      <c r="C67" t="str">
        <v>Epic</v>
      </c>
      <c r="E67" t="str">
        <v>Exposing Matrix Externally (Usage of Alkemio platform identities for Matrix)</v>
      </c>
      <c r="F67" t="str">
        <v>2025-10-28</v>
      </c>
      <c r="G67" t="str">
        <v>2026-04-02</v>
      </c>
      <c r="L67" t="str">
        <v>Roadmap</v>
      </c>
      <c r="O67" t="str">
        <v>Platform mgmt</v>
      </c>
      <c r="Q67" t="str">
        <v>Functionality: Strategic</v>
      </c>
      <c r="R67">
        <v>80</v>
      </c>
    </row>
    <row r="68">
      <c r="B68" t="str">
        <v>alkemio</v>
      </c>
      <c r="C68" t="str">
        <v>Epic,Roadmap Discussion</v>
      </c>
      <c r="E68" t="str">
        <v>Scalable whiteboard collaboration service</v>
      </c>
      <c r="F68" t="str">
        <v>2025-10-28</v>
      </c>
      <c r="G68" t="str">
        <v>2026-04-02</v>
      </c>
      <c r="L68" t="str">
        <v>New</v>
      </c>
      <c r="M68" t="str">
        <v>Whiteboards</v>
      </c>
      <c r="O68" t="str">
        <v>Performance</v>
      </c>
    </row>
    <row r="69">
      <c r="B69" t="str">
        <v>alkemio</v>
      </c>
      <c r="C69" t="str">
        <v>Epic,QA,Refinement,Atlas Team</v>
      </c>
      <c r="D69" t="str">
        <v>Improved Confidence in the Platform</v>
      </c>
      <c r="E69" t="str">
        <v>Test suites: validate database content</v>
      </c>
      <c r="F69" t="str">
        <v>2025-10-28</v>
      </c>
      <c r="G69" t="str">
        <v>2026-04-02</v>
      </c>
      <c r="L69" t="str">
        <v>New</v>
      </c>
    </row>
    <row r="70">
      <c r="B70" t="str">
        <v>alkemio</v>
      </c>
      <c r="C70" t="str">
        <v>Epic,Product Discussion</v>
      </c>
      <c r="E70" t="str">
        <v>Space templates with hierarchy</v>
      </c>
      <c r="F70" t="str">
        <v>2025-07-08</v>
      </c>
      <c r="G70" t="str">
        <v>2025-07-01</v>
      </c>
      <c r="L70" t="str">
        <v>Done</v>
      </c>
      <c r="M70" t="str">
        <v>Templates</v>
      </c>
      <c r="N70">
        <v>2</v>
      </c>
      <c r="S70" t="str">
        <v>Library</v>
      </c>
    </row>
    <row r="71">
      <c r="B71" t="str">
        <v>alkemio</v>
      </c>
      <c r="C71" t="str">
        <v>Epic</v>
      </c>
      <c r="E71" t="str">
        <v>Authentication using EIDAS identity</v>
      </c>
      <c r="F71" t="str">
        <v>2025-06-10</v>
      </c>
      <c r="G71" t="str">
        <v>2025-07-01</v>
      </c>
      <c r="L71" t="str">
        <v>Done</v>
      </c>
    </row>
    <row r="72">
      <c r="B72" t="str">
        <v>alkemio</v>
      </c>
      <c r="C72" t="str">
        <v>Epic</v>
      </c>
      <c r="D72" t="str">
        <v>Improved Confidence in the Platform</v>
      </c>
      <c r="E72" t="str">
        <v>Connectivity Issues: New app version</v>
      </c>
      <c r="F72" t="str">
        <v>2025-05-27</v>
      </c>
      <c r="G72" t="str">
        <v>2025-07-01</v>
      </c>
      <c r="L72" t="str">
        <v>Done</v>
      </c>
    </row>
    <row r="73">
      <c r="A73" t="str">
        <v>Simone</v>
      </c>
      <c r="B73" t="str">
        <v>alkemio</v>
      </c>
      <c r="C73" t="str">
        <v>Epic,Rhea Team</v>
      </c>
      <c r="E73" t="str">
        <v>Fixing MD editor bugs</v>
      </c>
      <c r="F73" t="str">
        <v>2025-10-28</v>
      </c>
      <c r="G73" t="str">
        <v>2026-04-02</v>
      </c>
      <c r="L73" t="str">
        <v>Defined</v>
      </c>
    </row>
    <row r="74">
      <c r="B74" t="str">
        <v>infrastructure-operations</v>
      </c>
      <c r="C74" t="str">
        <v>operations,Epic,Infrastructure</v>
      </c>
      <c r="E74" t="str">
        <v>Synapse upgrade (Matrix scalability)</v>
      </c>
      <c r="F74" t="str">
        <v>2025-06-24</v>
      </c>
      <c r="G74" t="str">
        <v>2025-07-01</v>
      </c>
      <c r="L74" t="str">
        <v>Done</v>
      </c>
    </row>
    <row r="75">
      <c r="A75" t="str">
        <v>Neil Smyth</v>
      </c>
      <c r="B75" t="str">
        <v>alkemio</v>
      </c>
      <c r="C75" t="str">
        <v>Epic</v>
      </c>
      <c r="E75" t="str">
        <v>Using L0 Space VCs throughout the entire Space hierarchy</v>
      </c>
      <c r="F75" t="str">
        <v>2025-06-24</v>
      </c>
      <c r="G75" t="str">
        <v>2025-04-01</v>
      </c>
      <c r="L75" t="str">
        <v>Done</v>
      </c>
      <c r="M75" t="str">
        <v>Virtual Contributors</v>
      </c>
      <c r="N75">
        <v>2</v>
      </c>
    </row>
    <row r="76">
      <c r="B76" t="str">
        <v>alkemio</v>
      </c>
      <c r="C76" t="str">
        <v>Epic</v>
      </c>
      <c r="D76" t="str">
        <v>Richer interaction inside the Space</v>
      </c>
      <c r="E76" t="str">
        <v>Callouts: refreshed create flow</v>
      </c>
      <c r="F76" t="str">
        <v>2025-06-24</v>
      </c>
      <c r="G76" t="str">
        <v>2025-04-01</v>
      </c>
      <c r="I76">
        <v>30</v>
      </c>
      <c r="K76" t="str">
        <v>Improvements</v>
      </c>
      <c r="L76" t="str">
        <v>Done</v>
      </c>
      <c r="M76" t="str">
        <v>Callouts</v>
      </c>
      <c r="O76" t="str">
        <v>Usability</v>
      </c>
      <c r="Q76" t="str">
        <v>Usability</v>
      </c>
      <c r="R76">
        <v>30</v>
      </c>
    </row>
    <row r="77">
      <c r="B77" t="str">
        <v>alkemio</v>
      </c>
      <c r="C77" t="str">
        <v>Epic</v>
      </c>
      <c r="E77" t="str">
        <v>Full Subspace templates</v>
      </c>
      <c r="F77" t="str">
        <v>2025-06-24</v>
      </c>
      <c r="G77" t="str">
        <v>2025-04-01</v>
      </c>
      <c r="L77" t="str">
        <v>Done</v>
      </c>
      <c r="M77" t="str">
        <v>Templates</v>
      </c>
      <c r="N77">
        <v>1</v>
      </c>
      <c r="S77" t="str">
        <v>Library</v>
      </c>
    </row>
    <row r="78">
      <c r="B78" t="str">
        <v>alkemio</v>
      </c>
      <c r="C78" t="str">
        <v>Epic</v>
      </c>
      <c r="E78" t="str">
        <v>Hidden Spaces</v>
      </c>
      <c r="F78" t="str">
        <v>2025-10-28</v>
      </c>
      <c r="G78" t="str">
        <v>2026-04-02</v>
      </c>
      <c r="L78" t="str">
        <v>New</v>
      </c>
    </row>
    <row r="79">
      <c r="B79" t="str">
        <v>alkemio</v>
      </c>
      <c r="C79" t="str">
        <v>Epic,Roadmap Discussion,New this Sprint</v>
      </c>
      <c r="D79" t="str">
        <v>Products + Licensing</v>
      </c>
      <c r="E79" t="str">
        <v>Licensing: stabilization</v>
      </c>
      <c r="G79" t="str">
        <v>2025-04-01</v>
      </c>
      <c r="L79" t="str">
        <v>Done</v>
      </c>
    </row>
    <row r="80">
      <c r="B80" t="str">
        <v>alkemio</v>
      </c>
      <c r="C80" t="str">
        <v>Epic</v>
      </c>
      <c r="D80" t="str">
        <v>Virtual Contributors: Q3 2024</v>
      </c>
      <c r="E80" t="str">
        <v>VCs: Data freshness</v>
      </c>
      <c r="L80" t="str">
        <v>New</v>
      </c>
      <c r="M80" t="str">
        <v>Virtual Contributors</v>
      </c>
      <c r="N80">
        <v>6</v>
      </c>
    </row>
    <row r="81">
      <c r="B81" t="str">
        <v>alkemio</v>
      </c>
      <c r="C81" t="str">
        <v>Epic</v>
      </c>
      <c r="D81" t="str">
        <v>Innovation Professional Support</v>
      </c>
      <c r="E81" t="str">
        <v>Flexible &amp; Templatable community roles</v>
      </c>
      <c r="G81" t="str">
        <v>2026-04-02</v>
      </c>
      <c r="I81">
        <v>30</v>
      </c>
      <c r="K81" t="str">
        <v>New features</v>
      </c>
      <c r="L81" t="str">
        <v>Being elaborated</v>
      </c>
      <c r="M81" t="str">
        <v>Templates</v>
      </c>
      <c r="N81">
        <v>3</v>
      </c>
      <c r="Q81" t="str">
        <v>Functionality: Strategic</v>
      </c>
      <c r="R81">
        <v>30</v>
      </c>
      <c r="S81" t="str">
        <v>Community mgmt</v>
      </c>
    </row>
    <row r="82">
      <c r="A82" t="str">
        <v>Maloe</v>
      </c>
      <c r="B82" t="str">
        <v>product</v>
      </c>
      <c r="C82" t="str">
        <v>Epic,Product Team</v>
      </c>
      <c r="E82" t="str">
        <v>Epic: Engaging Platform Library</v>
      </c>
      <c r="L82" t="str">
        <v>New</v>
      </c>
      <c r="M82" t="str">
        <v>Templates</v>
      </c>
      <c r="N82">
        <v>2</v>
      </c>
      <c r="S82" t="str">
        <v>Library</v>
      </c>
    </row>
    <row r="83">
      <c r="B83" t="str">
        <v>alkemio</v>
      </c>
      <c r="C83" t="str">
        <v>Epic</v>
      </c>
      <c r="E83" t="str">
        <v>VC: Single user interaction</v>
      </c>
      <c r="G83" t="str">
        <v>2026-04-02</v>
      </c>
      <c r="L83" t="str">
        <v>Being elaborated</v>
      </c>
      <c r="M83" t="str">
        <v>Virtual Contributors</v>
      </c>
      <c r="N83">
        <v>2</v>
      </c>
    </row>
    <row r="84">
      <c r="A84" t="str">
        <v>Evgeni Dimitrov,Simone</v>
      </c>
      <c r="B84" t="str">
        <v>alkemio</v>
      </c>
      <c r="C84" t="str">
        <v>enhancement,Epic,client,Refinement,Rhea Team</v>
      </c>
      <c r="E84" t="str">
        <v>Single subspace concept</v>
      </c>
      <c r="F84" t="str">
        <v>2025-06-10</v>
      </c>
      <c r="G84" t="str">
        <v>2025-04-01</v>
      </c>
      <c r="L84" t="str">
        <v>Done</v>
      </c>
    </row>
    <row r="85">
      <c r="B85" t="str">
        <v>alkemio</v>
      </c>
      <c r="C85" t="str">
        <v>Epic</v>
      </c>
      <c r="E85" t="str">
        <v>Rebuild Prod Cluster</v>
      </c>
      <c r="F85" t="str">
        <v>2025-04-29</v>
      </c>
      <c r="G85" t="str">
        <v>2025-04-01</v>
      </c>
      <c r="L85" t="str">
        <v>Done</v>
      </c>
    </row>
    <row r="86">
      <c r="B86" t="str">
        <v>alkemio</v>
      </c>
      <c r="C86" t="str">
        <v>Epic</v>
      </c>
      <c r="E86" t="str">
        <v>Client: Space clean up, routing, deprecated</v>
      </c>
      <c r="F86" t="str">
        <v>2025-05-13</v>
      </c>
      <c r="G86" t="str">
        <v>2025-04-01</v>
      </c>
      <c r="L86" t="str">
        <v>Done</v>
      </c>
    </row>
    <row r="87">
      <c r="A87" t="str">
        <v>Neil Smyth</v>
      </c>
      <c r="B87" t="str">
        <v>alkemio</v>
      </c>
      <c r="C87" t="str">
        <v>Epic</v>
      </c>
      <c r="E87" t="str">
        <v xml:space="preserve">VC: Transparency profile data </v>
      </c>
      <c r="F87" t="str">
        <v>2025-05-13</v>
      </c>
      <c r="G87" t="str">
        <v>2025-04-01</v>
      </c>
      <c r="L87" t="str">
        <v>Done</v>
      </c>
      <c r="M87" t="str">
        <v>Virtual Contributors</v>
      </c>
    </row>
    <row r="88">
      <c r="B88" t="str">
        <v>alkemio</v>
      </c>
      <c r="C88" t="str">
        <v>Epic</v>
      </c>
      <c r="E88" t="str">
        <v xml:space="preserve">VC: Service AI - community what has happened </v>
      </c>
      <c r="L88" t="str">
        <v>New</v>
      </c>
      <c r="M88" t="str">
        <v>Virtual Contributors</v>
      </c>
      <c r="N88">
        <v>5</v>
      </c>
    </row>
    <row r="89">
      <c r="B89" t="str">
        <v>alkemio</v>
      </c>
      <c r="C89" t="str">
        <v>Epic</v>
      </c>
      <c r="D89" t="str">
        <v>Virtual Contributors: Q3 2024</v>
      </c>
      <c r="E89" t="str">
        <v>Bucket: VC improved functionality</v>
      </c>
      <c r="G89" t="str">
        <v>2026-04-02</v>
      </c>
      <c r="L89" t="str">
        <v>New</v>
      </c>
      <c r="M89" t="str">
        <v>Virtual Contributors</v>
      </c>
      <c r="N89">
        <v>10</v>
      </c>
    </row>
    <row r="90">
      <c r="B90" t="str">
        <v>alkemio</v>
      </c>
      <c r="C90" t="str">
        <v>Epic</v>
      </c>
      <c r="D90" t="str">
        <v>Virtual Contributors: Q3 2024</v>
      </c>
      <c r="E90" t="str">
        <v>VC: Image generation</v>
      </c>
      <c r="L90" t="str">
        <v>New</v>
      </c>
      <c r="M90" t="str">
        <v>Virtual Contributors</v>
      </c>
      <c r="N90">
        <v>5</v>
      </c>
    </row>
    <row r="91">
      <c r="B91" t="str">
        <v>alkemio</v>
      </c>
      <c r="C91" t="str">
        <v>Epic</v>
      </c>
      <c r="D91" t="str">
        <v>Virtual Contributors: Q3 2024</v>
      </c>
      <c r="E91" t="str">
        <v>VCs: Monitoring + operations</v>
      </c>
      <c r="L91" t="str">
        <v>Defined</v>
      </c>
      <c r="M91" t="str">
        <v>Virtual Contributors</v>
      </c>
      <c r="N91">
        <v>5</v>
      </c>
    </row>
    <row r="92">
      <c r="B92" t="str">
        <v>alkemio</v>
      </c>
      <c r="C92" t="str">
        <v>Epic,Atlas Team</v>
      </c>
      <c r="D92" t="str">
        <v>Virtual Contributors: Q3 2024</v>
      </c>
      <c r="E92" t="str">
        <v>VC: Expert engine space data retrieval + loading</v>
      </c>
      <c r="L92" t="str">
        <v>Elaborated</v>
      </c>
      <c r="M92" t="str">
        <v>Virtual Contributors</v>
      </c>
      <c r="N92">
        <v>5</v>
      </c>
    </row>
    <row r="93">
      <c r="B93" t="str">
        <v>alkemio</v>
      </c>
      <c r="C93" t="str">
        <v>Epic</v>
      </c>
      <c r="D93" t="str">
        <v>Virtual Contributors: Q3 2024</v>
      </c>
      <c r="E93" t="str">
        <v>VC: Controls on data sources</v>
      </c>
      <c r="L93" t="str">
        <v>New</v>
      </c>
      <c r="M93" t="str">
        <v>Virtual Contributors</v>
      </c>
      <c r="N93">
        <v>5</v>
      </c>
    </row>
    <row r="94">
      <c r="A94" t="str">
        <v>Svetoslav Petkov</v>
      </c>
      <c r="B94" t="str">
        <v>alkemio</v>
      </c>
      <c r="C94" t="str">
        <v>Epic</v>
      </c>
      <c r="E94" t="str">
        <v>Technical: ESM Module usage v1</v>
      </c>
      <c r="F94" t="str">
        <v>2025-05-27</v>
      </c>
      <c r="G94" t="str">
        <v>2025-04-01</v>
      </c>
      <c r="L94" t="str">
        <v>Done</v>
      </c>
    </row>
    <row r="95">
      <c r="B95" t="str">
        <v>infrastructure-operations</v>
      </c>
      <c r="C95" t="str">
        <v>operations,Epic,Infrastructure</v>
      </c>
      <c r="E95" t="str">
        <v>Encryption at rest</v>
      </c>
      <c r="F95" t="str">
        <v>2025-10-28</v>
      </c>
      <c r="L95" t="str">
        <v>New</v>
      </c>
    </row>
    <row r="96">
      <c r="B96" t="str">
        <v>alkemio</v>
      </c>
      <c r="C96" t="str">
        <v>Epic</v>
      </c>
      <c r="E96" t="str">
        <v>Upgrade to NestJS 11 + ESM (as this was not supported by older nestjs)</v>
      </c>
      <c r="L96" t="str">
        <v>Being elaborated</v>
      </c>
    </row>
    <row r="97">
      <c r="B97" t="str">
        <v>alkemio</v>
      </c>
      <c r="C97" t="str">
        <v>Epic</v>
      </c>
      <c r="E97" t="str">
        <v>Client: time to first load</v>
      </c>
      <c r="F97" t="str">
        <v>2025-10-28</v>
      </c>
      <c r="G97" t="str">
        <v>2026-01-01</v>
      </c>
      <c r="L97" t="str">
        <v>New</v>
      </c>
    </row>
    <row r="98">
      <c r="B98" t="str">
        <v>alkemio</v>
      </c>
      <c r="C98" t="str">
        <v>Epic</v>
      </c>
      <c r="E98" t="str">
        <v>Onboarding large user groups</v>
      </c>
      <c r="F98" t="str">
        <v>2025-05-27</v>
      </c>
      <c r="G98" t="str">
        <v>2025-04-01</v>
      </c>
      <c r="L98" t="str">
        <v>Done</v>
      </c>
    </row>
    <row r="99">
      <c r="B99" t="str">
        <v>alkemio</v>
      </c>
      <c r="C99" t="str">
        <v>Epic</v>
      </c>
      <c r="E99" t="str">
        <v>Refreshed Sign up flow supporting additional identities</v>
      </c>
      <c r="F99" t="str">
        <v>2025-05-27</v>
      </c>
      <c r="G99" t="str">
        <v>2025-04-01</v>
      </c>
      <c r="L99" t="str">
        <v>Done</v>
      </c>
    </row>
    <row r="100">
      <c r="B100" t="str">
        <v>alkemio</v>
      </c>
      <c r="C100" t="str">
        <v>Epic</v>
      </c>
      <c r="E100" t="str">
        <v xml:space="preserve">Account management for Start pages </v>
      </c>
      <c r="G100" t="str">
        <v>2026-01-01</v>
      </c>
      <c r="L100" t="str">
        <v>New</v>
      </c>
    </row>
    <row r="101">
      <c r="B101" t="str">
        <v>alkemio</v>
      </c>
      <c r="C101" t="str">
        <v>Epic</v>
      </c>
      <c r="E101" t="str">
        <v>Notifications: Aggregation of events</v>
      </c>
      <c r="G101" t="str">
        <v>2026-01-01</v>
      </c>
      <c r="L101" t="str">
        <v>Roadmap</v>
      </c>
      <c r="M101" t="str">
        <v>Notifications</v>
      </c>
      <c r="N101">
        <v>4</v>
      </c>
    </row>
    <row r="102">
      <c r="B102" t="str">
        <v>alkemio</v>
      </c>
      <c r="C102" t="str">
        <v>Epic</v>
      </c>
      <c r="E102" t="str">
        <v>Infrastructure: Maintainability Q2 2025</v>
      </c>
      <c r="G102" t="str">
        <v>2026-04-02</v>
      </c>
      <c r="L102" t="str">
        <v>In progress</v>
      </c>
    </row>
    <row r="103">
      <c r="B103" t="str">
        <v>alkemio</v>
      </c>
      <c r="C103" t="str">
        <v>Epic,QA,Product Discussion</v>
      </c>
      <c r="E103" t="str">
        <v>Test suite: VCs</v>
      </c>
      <c r="F103" t="str">
        <v>2025-10-28</v>
      </c>
      <c r="L103" t="str">
        <v>New</v>
      </c>
      <c r="M103" t="str">
        <v>Virtual Contributors</v>
      </c>
      <c r="N103">
        <v>1</v>
      </c>
    </row>
    <row r="104">
      <c r="B104" t="str">
        <v>alkemio</v>
      </c>
      <c r="C104" t="str">
        <v>Epic,Product Team</v>
      </c>
      <c r="E104" t="str">
        <v>Space layout</v>
      </c>
      <c r="F104" t="str">
        <v>2025-10-28</v>
      </c>
      <c r="G104" t="str">
        <v>2026-04-02</v>
      </c>
      <c r="L104" t="str">
        <v>Being elaborated</v>
      </c>
    </row>
    <row r="105">
      <c r="B105" t="str">
        <v>infrastructure-operations</v>
      </c>
      <c r="C105" t="str">
        <v>operations,Epic,Infrastructure</v>
      </c>
      <c r="E105" t="str">
        <v>Infra: split of prod from dev</v>
      </c>
      <c r="F105" t="str">
        <v>2025-04-15</v>
      </c>
      <c r="G105" t="str">
        <v>2025-04-01</v>
      </c>
      <c r="L105" t="str">
        <v>Done</v>
      </c>
    </row>
    <row r="106">
      <c r="B106" t="str">
        <v>alkemio</v>
      </c>
      <c r="C106" t="str">
        <v>Epic</v>
      </c>
      <c r="E106" t="str">
        <v>Excalidraw upgrade</v>
      </c>
      <c r="F106" t="str">
        <v>2025-04-15</v>
      </c>
      <c r="G106" t="str">
        <v>2025-04-01</v>
      </c>
      <c r="L106" t="str">
        <v>Done</v>
      </c>
    </row>
    <row r="107">
      <c r="B107" t="str">
        <v>alkemio</v>
      </c>
      <c r="C107" t="str">
        <v>Epic</v>
      </c>
      <c r="E107" t="str">
        <v>About dialog</v>
      </c>
      <c r="F107" t="str">
        <v>2025-04-15</v>
      </c>
      <c r="G107" t="str">
        <v>2025-04-01</v>
      </c>
      <c r="L107" t="str">
        <v>Done</v>
      </c>
    </row>
    <row r="108">
      <c r="B108" t="str">
        <v>alkemio</v>
      </c>
      <c r="C108" t="str">
        <v>Epic</v>
      </c>
      <c r="E108" t="str">
        <v>LibraFlowVC: Prototype</v>
      </c>
      <c r="F108" t="str">
        <v>2025-04-15</v>
      </c>
      <c r="G108" t="str">
        <v>2025-04-01</v>
      </c>
      <c r="L108" t="str">
        <v>Done</v>
      </c>
      <c r="M108" t="str">
        <v>Virtual Contributors</v>
      </c>
      <c r="N108">
        <v>1</v>
      </c>
    </row>
    <row r="109">
      <c r="B109" t="str">
        <v>alkemio</v>
      </c>
      <c r="C109" t="str">
        <v>Epic</v>
      </c>
      <c r="E109" t="str">
        <v>Client: Material UI refresh 6.4</v>
      </c>
      <c r="F109" t="str">
        <v>2025-04-15</v>
      </c>
      <c r="G109" t="str">
        <v>2025-04-01</v>
      </c>
      <c r="L109" t="str">
        <v>Done</v>
      </c>
    </row>
    <row r="110">
      <c r="B110" t="str">
        <v>infrastructure-operations</v>
      </c>
      <c r="C110" t="str">
        <v>operations,Epic,Infrastructure</v>
      </c>
      <c r="E110" t="str">
        <v>LibreChat: Production deployment</v>
      </c>
      <c r="F110" t="str">
        <v>2025-04-01</v>
      </c>
      <c r="G110" t="str">
        <v>2025-04-01</v>
      </c>
      <c r="L110" t="str">
        <v>Done</v>
      </c>
    </row>
    <row r="111">
      <c r="B111" t="str">
        <v>alkemio</v>
      </c>
      <c r="C111" t="str">
        <v>Epic,Rhea Team</v>
      </c>
      <c r="D111" t="str">
        <v>Improved Confidence in the Platform</v>
      </c>
      <c r="E111" t="str">
        <v>Client: Optimize user responsiveness</v>
      </c>
      <c r="F111" t="str">
        <v>2025-04-01</v>
      </c>
      <c r="G111" t="str">
        <v>2025-04-01</v>
      </c>
      <c r="I111">
        <v>30</v>
      </c>
      <c r="K111" t="str">
        <v>Improvements</v>
      </c>
      <c r="L111" t="str">
        <v>Done</v>
      </c>
      <c r="O111" t="str">
        <v>Responsiveness</v>
      </c>
      <c r="Q111" t="str">
        <v>Usability</v>
      </c>
      <c r="R111">
        <v>30</v>
      </c>
    </row>
    <row r="112">
      <c r="B112" t="str">
        <v>infrastructure-operations</v>
      </c>
      <c r="C112" t="str">
        <v>operations,Epic,Infrastructure</v>
      </c>
      <c r="E112" t="str">
        <v>Production: MySql cluster</v>
      </c>
      <c r="F112" t="str">
        <v>2025-04-01</v>
      </c>
      <c r="G112" t="str">
        <v>2025-04-01</v>
      </c>
      <c r="L112" t="str">
        <v>Done</v>
      </c>
    </row>
    <row r="113">
      <c r="B113" t="str">
        <v>alkemio</v>
      </c>
      <c r="C113" t="str">
        <v>Epic,Atlas Team</v>
      </c>
      <c r="E113" t="str">
        <v>VC: Embeddings management</v>
      </c>
      <c r="G113" t="str">
        <v>2026-04-02</v>
      </c>
      <c r="L113" t="str">
        <v>New</v>
      </c>
      <c r="M113" t="str">
        <v>Virtual Contributors</v>
      </c>
      <c r="N113">
        <v>4</v>
      </c>
    </row>
    <row r="114">
      <c r="B114" t="str">
        <v>alkemio</v>
      </c>
      <c r="C114" t="str">
        <v>Epic</v>
      </c>
      <c r="D114" t="str">
        <v>Virtual Contributors: Q3 2024</v>
      </c>
      <c r="E114" t="str">
        <v>VC: AI Server split from server</v>
      </c>
      <c r="L114" t="str">
        <v>New</v>
      </c>
      <c r="M114" t="str">
        <v>Virtual Contributors</v>
      </c>
      <c r="N114">
        <v>4</v>
      </c>
    </row>
    <row r="115">
      <c r="B115" t="str">
        <v>alkemio</v>
      </c>
      <c r="C115" t="str">
        <v>Epic</v>
      </c>
      <c r="D115" t="str">
        <v>Virtual Contributors: Q3 2024</v>
      </c>
      <c r="E115" t="str">
        <v>VCs: Multiple context types</v>
      </c>
      <c r="L115" t="str">
        <v>New</v>
      </c>
      <c r="M115" t="str">
        <v>Virtual Contributors</v>
      </c>
      <c r="N115">
        <v>4</v>
      </c>
    </row>
    <row r="116">
      <c r="B116" t="str">
        <v>alkemio</v>
      </c>
      <c r="C116" t="str">
        <v>Epic,Product Team</v>
      </c>
      <c r="D116" t="str">
        <v>Create your own Space: GA</v>
      </c>
      <c r="E116" t="str">
        <v>Memberships: consistency, organization</v>
      </c>
      <c r="L116" t="str">
        <v>Defined</v>
      </c>
    </row>
    <row r="117">
      <c r="B117" t="str">
        <v>alkemio</v>
      </c>
      <c r="C117" t="str">
        <v>Epic,Roadmap Discussion</v>
      </c>
      <c r="E117" t="str">
        <v>Moving between levels: pro/de-moting (Sub)Spaces, moving callouts</v>
      </c>
      <c r="F117" t="str">
        <v>2025-10-28</v>
      </c>
      <c r="L117" t="str">
        <v>New</v>
      </c>
    </row>
    <row r="118">
      <c r="B118" t="str">
        <v>alkemio</v>
      </c>
      <c r="C118" t="str">
        <v>Epic,Product Team,Roadmap Discussion</v>
      </c>
      <c r="D118" t="str">
        <v>Improved Confidence in the Platform</v>
      </c>
      <c r="E118" t="str">
        <v>Account: Consistent settings per resource</v>
      </c>
      <c r="L118" t="str">
        <v>New</v>
      </c>
    </row>
    <row r="119">
      <c r="B119" t="str">
        <v>alkemio</v>
      </c>
      <c r="C119" t="str">
        <v>Epic,Roadmap Discussion</v>
      </c>
      <c r="E119" t="str">
        <v>AI: Automated scope analysis for risk-based testing</v>
      </c>
      <c r="L119" t="str">
        <v>New</v>
      </c>
    </row>
    <row r="120">
      <c r="B120" t="str">
        <v>alkemio</v>
      </c>
      <c r="C120" t="str">
        <v>Epic,Product Team,Roadmap Discussion</v>
      </c>
      <c r="E120" t="str">
        <v>Visibility: clean, clear, and consistent</v>
      </c>
      <c r="L120" t="str">
        <v>New</v>
      </c>
    </row>
    <row r="121">
      <c r="B121" t="str">
        <v>alkemio</v>
      </c>
      <c r="C121" t="str">
        <v>Epic,Atlas Team</v>
      </c>
      <c r="D121" t="str">
        <v>Improved Confidence in the Platform</v>
      </c>
      <c r="E121" t="str">
        <v>Server: robustness + performance Q2 2025</v>
      </c>
      <c r="G121" t="str">
        <v>2026-04-02</v>
      </c>
      <c r="I121">
        <v>20</v>
      </c>
      <c r="L121" t="str">
        <v>In progress</v>
      </c>
    </row>
    <row r="122">
      <c r="A122" t="str">
        <v>Valentin Yanakiev</v>
      </c>
      <c r="B122" t="str">
        <v>alkemio</v>
      </c>
      <c r="C122" t="str">
        <v>Epic</v>
      </c>
      <c r="D122" t="str">
        <v>Improved Confidence in the Platform</v>
      </c>
      <c r="E122" t="str">
        <v>Release mgmt: Process + tooling</v>
      </c>
      <c r="G122" t="str">
        <v>2026-04-02</v>
      </c>
      <c r="H122">
        <v>10</v>
      </c>
      <c r="I122">
        <v>40</v>
      </c>
      <c r="K122" t="str">
        <v>Improvements</v>
      </c>
      <c r="L122" t="str">
        <v>In progress</v>
      </c>
      <c r="O122" t="str">
        <v>Platform mgmt</v>
      </c>
      <c r="Q122" t="str">
        <v>Operations: Effectiveness</v>
      </c>
      <c r="R122">
        <v>50</v>
      </c>
    </row>
    <row r="123">
      <c r="A123" t="str">
        <v>Valentin Yanakiev,Svetoslav Petkov</v>
      </c>
      <c r="B123" t="str">
        <v>alkemio</v>
      </c>
      <c r="C123" t="str">
        <v>Epic</v>
      </c>
      <c r="D123" t="str">
        <v>Usage insights</v>
      </c>
      <c r="E123" t="str">
        <v>Reporting: Active usage monitoring</v>
      </c>
      <c r="G123" t="str">
        <v>2026-04-02</v>
      </c>
      <c r="I123">
        <v>30</v>
      </c>
      <c r="L123" t="str">
        <v>Roadmap</v>
      </c>
      <c r="M123" t="str">
        <v>Whiteboards</v>
      </c>
      <c r="O123" t="str">
        <v>Reporting</v>
      </c>
    </row>
    <row r="124">
      <c r="A124" t="str">
        <v>Evgeni Dimitrov</v>
      </c>
      <c r="B124" t="str">
        <v>alkemio</v>
      </c>
      <c r="C124" t="str">
        <v>Epic,QA</v>
      </c>
      <c r="D124" t="str">
        <v>Improved Confidence in the Platform</v>
      </c>
      <c r="E124" t="str">
        <v>QA: Test Suites extensions Q4</v>
      </c>
      <c r="G124" t="str">
        <v>2026-04-02</v>
      </c>
      <c r="I124">
        <v>40</v>
      </c>
      <c r="L124" t="str">
        <v>Being defined</v>
      </c>
    </row>
    <row r="125">
      <c r="B125" t="str">
        <v>alkemio</v>
      </c>
      <c r="C125" t="str">
        <v>Epic</v>
      </c>
      <c r="D125" t="str">
        <v>Create your own Space: GA</v>
      </c>
      <c r="E125" t="str">
        <v>Authentication: Identity Management</v>
      </c>
      <c r="L125" t="str">
        <v>Defined</v>
      </c>
    </row>
    <row r="126">
      <c r="A126" t="str">
        <v>Valentin Yanakiev,Svetoslav Petkov</v>
      </c>
      <c r="B126" t="str">
        <v>alkemio</v>
      </c>
      <c r="C126" t="str">
        <v>Epic</v>
      </c>
      <c r="D126" t="str">
        <v>Improved Confidence in the Platform</v>
      </c>
      <c r="E126" t="str">
        <v>API usage performance / monitoring / audit trail</v>
      </c>
      <c r="G126" t="str">
        <v>2026-04-02</v>
      </c>
      <c r="I126">
        <v>40</v>
      </c>
      <c r="L126" t="str">
        <v>Defined</v>
      </c>
    </row>
    <row r="127">
      <c r="B127" t="str">
        <v>alkemio</v>
      </c>
      <c r="C127" t="str">
        <v>Epic</v>
      </c>
      <c r="D127" t="str">
        <v>Improved Confidence in the Platform</v>
      </c>
      <c r="E127" t="str">
        <v>Whiteboards: Robustness + performance Q4</v>
      </c>
      <c r="G127" t="str">
        <v>2026-04-02</v>
      </c>
      <c r="L127" t="str">
        <v>Being defined</v>
      </c>
    </row>
    <row r="128">
      <c r="B128" t="str">
        <v>alkemio</v>
      </c>
      <c r="C128" t="str">
        <v>Epic</v>
      </c>
      <c r="D128" t="str">
        <v>Usage insights</v>
      </c>
      <c r="E128" t="str">
        <v>Reporting: User flows</v>
      </c>
      <c r="G128" t="str">
        <v>2026-04-02</v>
      </c>
      <c r="I128">
        <v>20</v>
      </c>
      <c r="L128" t="str">
        <v>New</v>
      </c>
      <c r="O128" t="str">
        <v>Reporting</v>
      </c>
    </row>
    <row r="129">
      <c r="B129" t="str">
        <v>alkemio</v>
      </c>
      <c r="C129" t="str">
        <v>Epic,Roadmap Discussion</v>
      </c>
      <c r="D129" t="str">
        <v>Create your own Space: GA</v>
      </c>
      <c r="E129" t="str">
        <v>Resource controls: demo, searchability, hidden etc</v>
      </c>
      <c r="L129" t="str">
        <v>New</v>
      </c>
    </row>
    <row r="130">
      <c r="B130" t="str">
        <v>alkemio</v>
      </c>
      <c r="C130" t="str">
        <v>Epic</v>
      </c>
      <c r="E130" t="str">
        <v>Forum: ready for release notes</v>
      </c>
      <c r="L130" t="str">
        <v>Elaborated</v>
      </c>
    </row>
    <row r="131">
      <c r="B131" t="str">
        <v>alkemio</v>
      </c>
      <c r="C131" t="str">
        <v>Epic,QA,Product Discussion,Rhea Team</v>
      </c>
      <c r="D131" t="str">
        <v>Improved Confidence in the Platform</v>
      </c>
      <c r="E131" t="str">
        <v>QA on multi-user collaboration on whiteboard</v>
      </c>
      <c r="F131" t="str">
        <v>2025-10-28</v>
      </c>
      <c r="G131" t="str">
        <v>2026-04-02</v>
      </c>
      <c r="K131" t="str">
        <v>Improvements</v>
      </c>
      <c r="L131" t="str">
        <v>Being defined</v>
      </c>
      <c r="M131" t="str">
        <v>Whiteboards</v>
      </c>
      <c r="O131" t="str">
        <v>Maintainability</v>
      </c>
      <c r="Q131" t="str">
        <v>Maintenance</v>
      </c>
      <c r="T131">
        <v>13</v>
      </c>
    </row>
    <row r="132">
      <c r="B132" t="str">
        <v>alkemio</v>
      </c>
      <c r="C132" t="str">
        <v>Epic,Product Discussion</v>
      </c>
      <c r="E132" t="str">
        <v>Whiteboard: history</v>
      </c>
      <c r="G132" t="str">
        <v>2026-04-02</v>
      </c>
      <c r="L132" t="str">
        <v>New</v>
      </c>
    </row>
    <row r="133">
      <c r="B133" t="str">
        <v>alkemio</v>
      </c>
      <c r="C133" t="str">
        <v>Epic</v>
      </c>
      <c r="E133" t="str">
        <v>Platform Administration</v>
      </c>
      <c r="L133" t="str">
        <v>Defined</v>
      </c>
    </row>
    <row r="134">
      <c r="B134" t="str">
        <v>alkemio</v>
      </c>
      <c r="C134" t="str">
        <v>Epic,Roadmap Discussion,Product Discussion</v>
      </c>
      <c r="D134" t="str">
        <v>Organization profile: Clear &amp; fit for purpose</v>
      </c>
      <c r="E134" t="str">
        <v>Organizations: Flexibility/Less formal + Simplify Unverified profiles</v>
      </c>
      <c r="L134" t="str">
        <v>New</v>
      </c>
    </row>
    <row r="135">
      <c r="B135" t="str">
        <v>alkemio</v>
      </c>
      <c r="C135" t="str">
        <v>Epic</v>
      </c>
      <c r="E135" t="str">
        <v>Bucket: Server performance</v>
      </c>
      <c r="L135" t="str">
        <v>Icebox</v>
      </c>
    </row>
    <row r="136">
      <c r="B136" t="str">
        <v>alkemio</v>
      </c>
      <c r="C136" t="str">
        <v>Epic</v>
      </c>
      <c r="E136" t="str">
        <v>UX Refinements - Round 3</v>
      </c>
      <c r="F136" t="str">
        <v>2023-03-14</v>
      </c>
      <c r="G136" t="str">
        <v>2025-04-01</v>
      </c>
      <c r="L136" t="str">
        <v>Done</v>
      </c>
      <c r="O136" t="str">
        <v>Usability</v>
      </c>
      <c r="Q136" t="str">
        <v>Usability</v>
      </c>
      <c r="R136">
        <v>30</v>
      </c>
      <c r="T136">
        <v>10</v>
      </c>
    </row>
    <row r="137">
      <c r="A137" t="str">
        <v>Valentin Yanakiev</v>
      </c>
      <c r="B137" t="str">
        <v>alkemio</v>
      </c>
      <c r="C137" t="str">
        <v>Epic</v>
      </c>
      <c r="E137" t="str">
        <v>Release mgmt: release notes + changelog</v>
      </c>
      <c r="L137" t="str">
        <v>Roadmap</v>
      </c>
      <c r="O137" t="str">
        <v>Platform mgmt</v>
      </c>
      <c r="Q137" t="str">
        <v>Operations: Effectiveness</v>
      </c>
      <c r="R137">
        <v>30</v>
      </c>
    </row>
    <row r="138">
      <c r="B138" t="str">
        <v>alkemio</v>
      </c>
      <c r="C138" t="str">
        <v>Epic</v>
      </c>
      <c r="E138" t="str">
        <v>Bucket: Whiteboards</v>
      </c>
      <c r="G138" t="str">
        <v>2026-04-02</v>
      </c>
      <c r="L138" t="str">
        <v>Roadmap</v>
      </c>
      <c r="M138" t="str">
        <v>Whiteboards</v>
      </c>
      <c r="O138" t="str">
        <v>Usability</v>
      </c>
    </row>
    <row r="139">
      <c r="B139" t="str">
        <v>alkemio</v>
      </c>
      <c r="C139" t="str">
        <v>Epic,Roadmap Discussion</v>
      </c>
      <c r="E139" t="str">
        <v>Enhanced Sign up flow</v>
      </c>
      <c r="G139" t="str">
        <v>2026-04-02</v>
      </c>
      <c r="L139" t="str">
        <v>Roadmap</v>
      </c>
      <c r="M139" t="str">
        <v>Sign in/up</v>
      </c>
      <c r="S139" t="str">
        <v>Notifications</v>
      </c>
    </row>
    <row r="140">
      <c r="B140" t="str">
        <v>alkemio</v>
      </c>
      <c r="C140" t="str">
        <v>Epic</v>
      </c>
      <c r="E140" t="str">
        <v>Homepage / Dashboard: Private workspace</v>
      </c>
      <c r="L140" t="str">
        <v>Roadmap</v>
      </c>
      <c r="M140" t="str">
        <v>My Dashboard</v>
      </c>
    </row>
    <row r="141">
      <c r="A141" t="str">
        <v>Valentin Yanakiev</v>
      </c>
      <c r="B141" t="str">
        <v>alkemio</v>
      </c>
      <c r="C141" t="str">
        <v>Epic</v>
      </c>
      <c r="E141" t="str">
        <v>Storage: Improved handling of documents that are uploaded</v>
      </c>
      <c r="G141" t="str">
        <v>2026-04-02</v>
      </c>
      <c r="I141">
        <v>30</v>
      </c>
      <c r="K141" t="str">
        <v>Improvements</v>
      </c>
      <c r="L141" t="str">
        <v>Roadmap</v>
      </c>
      <c r="M141" t="str">
        <v>Space mgmt</v>
      </c>
      <c r="O141" t="str">
        <v>Maintainability</v>
      </c>
      <c r="Q141" t="str">
        <v>Maintenance</v>
      </c>
      <c r="R141">
        <v>30</v>
      </c>
    </row>
    <row r="142">
      <c r="B142" t="str">
        <v>alkemio</v>
      </c>
      <c r="C142" t="str">
        <v>Epic</v>
      </c>
      <c r="E142" t="str">
        <v>Config mgmt: Helm deployments for k8s</v>
      </c>
      <c r="G142" t="str">
        <v>2026-04-02</v>
      </c>
      <c r="I142">
        <v>30</v>
      </c>
      <c r="K142" t="str">
        <v>Improvements</v>
      </c>
      <c r="L142" t="str">
        <v>Roadmap</v>
      </c>
      <c r="O142" t="str">
        <v>Platform mgmt</v>
      </c>
      <c r="Q142" t="str">
        <v>Operations: Security</v>
      </c>
      <c r="R142">
        <v>30</v>
      </c>
    </row>
    <row r="143">
      <c r="B143" t="str">
        <v>alkemio</v>
      </c>
      <c r="C143" t="str">
        <v>Epic,client,Product Discussion</v>
      </c>
      <c r="D143" t="str">
        <v>Search: Smart</v>
      </c>
      <c r="E143" t="str">
        <v>Search: Add forum, and help content to the search results</v>
      </c>
      <c r="G143" t="str">
        <v>2026-04-02</v>
      </c>
      <c r="K143" t="str">
        <v>Improvements</v>
      </c>
      <c r="L143" t="str">
        <v>Roadmap</v>
      </c>
      <c r="M143" t="str">
        <v>Search</v>
      </c>
      <c r="Q143" t="str">
        <v>Usability</v>
      </c>
      <c r="R143">
        <v>50</v>
      </c>
      <c r="S143" t="str">
        <v>Help</v>
      </c>
    </row>
    <row r="144">
      <c r="B144" t="str">
        <v>alkemio</v>
      </c>
      <c r="C144" t="str">
        <v>Epic,server,Security</v>
      </c>
      <c r="E144" t="str">
        <v>Development versions refresh</v>
      </c>
      <c r="G144" t="str">
        <v>2026-04-02</v>
      </c>
      <c r="L144" t="str">
        <v>Roadmap</v>
      </c>
      <c r="O144" t="str">
        <v>Maintainability</v>
      </c>
    </row>
    <row r="145">
      <c r="B145" t="str">
        <v>alkemio</v>
      </c>
      <c r="C145" t="str">
        <v>Epic,Roadmap Discussion,Product Discussion</v>
      </c>
      <c r="E145" t="str">
        <v>Experience for unauthorized users</v>
      </c>
      <c r="G145" t="str">
        <v>2026-04-02</v>
      </c>
      <c r="I145">
        <v>30</v>
      </c>
      <c r="K145" t="str">
        <v>Improvements</v>
      </c>
      <c r="L145" t="str">
        <v>Roadmap</v>
      </c>
      <c r="M145" t="str">
        <v>Space structure</v>
      </c>
      <c r="O145" t="str">
        <v>Usability</v>
      </c>
      <c r="Q145" t="str">
        <v>Usability</v>
      </c>
      <c r="R145">
        <v>30</v>
      </c>
    </row>
    <row r="146">
      <c r="B146" t="str">
        <v>alkemio</v>
      </c>
      <c r="C146" t="str">
        <v>Epic</v>
      </c>
      <c r="E146" t="str">
        <v>Community Terms: phase 2</v>
      </c>
      <c r="L146" t="str">
        <v>Roadmap</v>
      </c>
      <c r="M146" t="str">
        <v>Community mgmt</v>
      </c>
      <c r="P146" t="str">
        <v>Digicampus, Humanity Hub, The Hague</v>
      </c>
      <c r="R146">
        <v>30</v>
      </c>
      <c r="S146" t="str">
        <v>Library</v>
      </c>
    </row>
    <row r="147">
      <c r="B147" t="str">
        <v>alkemio</v>
      </c>
      <c r="C147" t="str">
        <v>Epic</v>
      </c>
      <c r="E147" t="str">
        <v>Callouts: Sorting control</v>
      </c>
      <c r="F147" t="str">
        <v>2023-03-14</v>
      </c>
      <c r="G147" t="str">
        <v>2025-04-01</v>
      </c>
      <c r="L147" t="str">
        <v>Done</v>
      </c>
      <c r="M147" t="str">
        <v>Callouts</v>
      </c>
      <c r="Q147" t="str">
        <v>Usability</v>
      </c>
      <c r="R147">
        <v>20</v>
      </c>
      <c r="T147">
        <v>10</v>
      </c>
    </row>
    <row r="148">
      <c r="B148" t="str">
        <v>alkemio</v>
      </c>
      <c r="C148" t="str">
        <v>Epic,Product Discussion</v>
      </c>
      <c r="E148" t="str">
        <v>Community Invitations: Allowing inviting many (external) users at once</v>
      </c>
      <c r="G148" t="str">
        <v>2024-10-01</v>
      </c>
      <c r="K148" t="str">
        <v>New features</v>
      </c>
      <c r="L148" t="str">
        <v>Roadmap</v>
      </c>
      <c r="M148" t="str">
        <v>Community mgmt</v>
      </c>
      <c r="P148" t="str">
        <v>VNG, Data Autonomy</v>
      </c>
      <c r="Q148" t="str">
        <v>Functionality: Tactical</v>
      </c>
    </row>
    <row r="149">
      <c r="B149" t="str">
        <v>alkemio</v>
      </c>
      <c r="C149" t="str">
        <v>Epic</v>
      </c>
      <c r="D149" t="str">
        <v>Custom Homepage (former Innovation Hubs)</v>
      </c>
      <c r="E149" t="str">
        <v>InnovationHubs without networking updates</v>
      </c>
      <c r="G149" t="str">
        <v>2026-04-02</v>
      </c>
      <c r="L149" t="str">
        <v>Roadmap</v>
      </c>
      <c r="M149" t="str">
        <v>Custom Homepage</v>
      </c>
      <c r="Q149" t="str">
        <v>Operations: Effectiveness</v>
      </c>
      <c r="R149">
        <v>30</v>
      </c>
    </row>
    <row r="150">
      <c r="B150" t="str">
        <v>client-web</v>
      </c>
      <c r="C150" t="str">
        <v>epic,client</v>
      </c>
      <c r="E150" t="str">
        <v>Client: Developer documentation, roadmap</v>
      </c>
      <c r="G150" t="str">
        <v>2026-04-02</v>
      </c>
      <c r="L150" t="str">
        <v>Roadmap</v>
      </c>
      <c r="O150" t="str">
        <v>Maintainability</v>
      </c>
      <c r="Q150" t="str">
        <v>Operations: Effectiveness</v>
      </c>
      <c r="R150">
        <v>20</v>
      </c>
    </row>
    <row r="151">
      <c r="B151" t="str">
        <v>alkemio</v>
      </c>
      <c r="C151" t="str">
        <v>Epic</v>
      </c>
      <c r="D151" t="str">
        <v>Custom Homepage (former Innovation Hubs)</v>
      </c>
      <c r="E151" t="str">
        <v>Dev env optimisation, incl InnovationHubs locally</v>
      </c>
      <c r="L151" t="str">
        <v>Roadmap</v>
      </c>
      <c r="M151" t="str">
        <v>Custom Homepage</v>
      </c>
      <c r="Q151" t="str">
        <v>Operations: Effectiveness</v>
      </c>
    </row>
    <row r="152">
      <c r="B152" t="str">
        <v>alkemio</v>
      </c>
      <c r="C152" t="str">
        <v>Epic</v>
      </c>
      <c r="E152" t="str">
        <v>Smart Analytics to understand community needs/interests</v>
      </c>
      <c r="G152" t="str">
        <v>2026-04-02</v>
      </c>
      <c r="L152" t="str">
        <v>Roadmap</v>
      </c>
      <c r="M152" t="str">
        <v>Community mgmt</v>
      </c>
      <c r="O152" t="str">
        <v>Reporting</v>
      </c>
      <c r="Q152" t="str">
        <v>Functionality: Strategic</v>
      </c>
    </row>
    <row r="153">
      <c r="B153" t="str">
        <v>alkemio</v>
      </c>
      <c r="C153" t="str">
        <v>Epic</v>
      </c>
      <c r="D153" t="str">
        <v>Products + Licensing</v>
      </c>
      <c r="E153" t="str">
        <v>Licensing: Quota / resource management: Documents</v>
      </c>
      <c r="G153" t="str">
        <v>2026-01-01</v>
      </c>
      <c r="I153">
        <v>30</v>
      </c>
      <c r="K153" t="str">
        <v>Improvements</v>
      </c>
      <c r="L153" t="str">
        <v>Roadmap</v>
      </c>
      <c r="M153" t="str">
        <v>Space mgmt</v>
      </c>
      <c r="Q153" t="str">
        <v>Operations: Effectiveness</v>
      </c>
      <c r="R153">
        <v>30</v>
      </c>
    </row>
    <row r="154">
      <c r="B154" t="str">
        <v>alkemio</v>
      </c>
      <c r="C154" t="str">
        <v>Epic,Roadmap Discussion</v>
      </c>
      <c r="E154" t="str">
        <v>Refresh Contributors page</v>
      </c>
      <c r="G154" t="str">
        <v>2026-04-02</v>
      </c>
      <c r="I154">
        <v>20</v>
      </c>
      <c r="K154" t="str">
        <v>New features</v>
      </c>
      <c r="L154" t="str">
        <v>Being elaborated</v>
      </c>
      <c r="M154" t="str">
        <v>Contributor Profiles</v>
      </c>
      <c r="Q154" t="str">
        <v>Functionality: Tactical</v>
      </c>
      <c r="R154">
        <v>20</v>
      </c>
    </row>
    <row r="155">
      <c r="B155" t="str">
        <v>alkemio</v>
      </c>
      <c r="C155" t="str">
        <v>Epic,Product Team</v>
      </c>
      <c r="E155" t="str">
        <v>Contributor visibility</v>
      </c>
      <c r="G155" t="str">
        <v>2026-04-02</v>
      </c>
      <c r="K155" t="str">
        <v>New features</v>
      </c>
      <c r="L155" t="str">
        <v>Roadmap</v>
      </c>
      <c r="M155" t="str">
        <v>Contributor Profiles</v>
      </c>
      <c r="Q155" t="str">
        <v>Functionality: Tactical</v>
      </c>
      <c r="R155">
        <v>30</v>
      </c>
    </row>
    <row r="156">
      <c r="B156" t="str">
        <v>alkemio</v>
      </c>
      <c r="C156" t="str">
        <v>Epic</v>
      </c>
      <c r="E156" t="str">
        <v>User controls on data visibility</v>
      </c>
      <c r="L156" t="str">
        <v>Roadmap</v>
      </c>
      <c r="M156" t="str">
        <v>Contributor Profiles</v>
      </c>
    </row>
    <row r="157">
      <c r="B157" t="str">
        <v>alkemio</v>
      </c>
      <c r="C157" t="str">
        <v>Epic,Roadmap Discussion</v>
      </c>
      <c r="E157" t="str">
        <v>Bucket: Content editing improvements</v>
      </c>
      <c r="G157" t="str">
        <v>2026-04-02</v>
      </c>
      <c r="I157">
        <v>20</v>
      </c>
      <c r="K157" t="str">
        <v>Improvements</v>
      </c>
      <c r="L157" t="str">
        <v>Being elaborated</v>
      </c>
      <c r="M157" t="str">
        <v>Callouts</v>
      </c>
      <c r="O157" t="str">
        <v>Usability</v>
      </c>
      <c r="Q157" t="str">
        <v>Usability</v>
      </c>
      <c r="R157">
        <v>20</v>
      </c>
      <c r="S157" t="str">
        <v>Space mgmt</v>
      </c>
    </row>
    <row r="158">
      <c r="B158" t="str">
        <v>alkemio</v>
      </c>
      <c r="C158" t="str">
        <v>Epic</v>
      </c>
      <c r="E158" t="str">
        <v>Improved content editing</v>
      </c>
      <c r="F158" t="str">
        <v>2023-02-28</v>
      </c>
      <c r="G158" t="str">
        <v>2025-04-01</v>
      </c>
      <c r="L158" t="str">
        <v>Done</v>
      </c>
      <c r="M158" t="str">
        <v>Callouts</v>
      </c>
      <c r="P158" t="str">
        <v>TNO</v>
      </c>
      <c r="Q158" t="str">
        <v>Usability</v>
      </c>
      <c r="R158">
        <v>50</v>
      </c>
    </row>
    <row r="159">
      <c r="B159" t="str">
        <v>alkemio</v>
      </c>
      <c r="C159" t="str">
        <v>Epic</v>
      </c>
      <c r="E159" t="str">
        <v>Welcome dialog for new members of a Journey</v>
      </c>
      <c r="L159" t="str">
        <v>Icebox</v>
      </c>
      <c r="O159" t="str">
        <v>Usability</v>
      </c>
    </row>
    <row r="160">
      <c r="B160" t="str">
        <v>alkemio</v>
      </c>
      <c r="C160" t="str">
        <v>Epic</v>
      </c>
      <c r="E160" t="str">
        <v>Bucket: Enhancing UX: Reducing Clicks and Scrolling</v>
      </c>
      <c r="L160" t="str">
        <v>Icebox</v>
      </c>
    </row>
    <row r="161">
      <c r="B161" t="str">
        <v>alkemio</v>
      </c>
      <c r="C161" t="str">
        <v>Epic</v>
      </c>
      <c r="E161" t="str">
        <v>Bucket: Enhancing UX: Guidance in current functionality</v>
      </c>
      <c r="L161" t="str">
        <v>Icebox</v>
      </c>
    </row>
    <row r="162">
      <c r="B162" t="str">
        <v>alkemio</v>
      </c>
      <c r="C162" t="str">
        <v>Epic</v>
      </c>
      <c r="E162" t="str">
        <v>Bucket: Forum improvements</v>
      </c>
      <c r="L162" t="str">
        <v>Icebox</v>
      </c>
    </row>
    <row r="163">
      <c r="B163" t="str">
        <v>alkemio</v>
      </c>
      <c r="C163" t="str">
        <v>Epic</v>
      </c>
      <c r="E163" t="str">
        <v>Bucket: Enhancing UX: Streamlining User Interaction with Existing Functionality</v>
      </c>
      <c r="L163" t="str">
        <v>Icebox</v>
      </c>
    </row>
    <row r="164">
      <c r="B164" t="str">
        <v>alkemio</v>
      </c>
      <c r="C164" t="str">
        <v>Epic,Product Team</v>
      </c>
      <c r="D164" t="str">
        <v>Templates: Complete set</v>
      </c>
      <c r="E164" t="str">
        <v>Templates: consistency in structure</v>
      </c>
      <c r="G164" t="str">
        <v>2025-07-01</v>
      </c>
      <c r="L164" t="str">
        <v>Done</v>
      </c>
      <c r="M164" t="str">
        <v>Library</v>
      </c>
    </row>
    <row r="165">
      <c r="B165" t="str">
        <v>alkemio</v>
      </c>
      <c r="C165" t="str">
        <v>Epic,Product Team,client</v>
      </c>
      <c r="E165" t="str">
        <v>UX: Sorting control on the client</v>
      </c>
      <c r="L165" t="str">
        <v>Icebox</v>
      </c>
      <c r="O165" t="str">
        <v>Usability</v>
      </c>
    </row>
    <row r="166">
      <c r="B166" t="str">
        <v>alkemio</v>
      </c>
      <c r="C166" t="str">
        <v>Epic</v>
      </c>
      <c r="E166" t="str">
        <v>Bucket: Journey membership UX improvements</v>
      </c>
      <c r="L166" t="str">
        <v>Icebox</v>
      </c>
      <c r="M166" t="str">
        <v>Community mgmt</v>
      </c>
      <c r="O166" t="str">
        <v>Usability</v>
      </c>
    </row>
    <row r="167">
      <c r="B167" t="str">
        <v>alkemio</v>
      </c>
      <c r="C167" t="str">
        <v>Epic</v>
      </c>
      <c r="E167" t="str">
        <v>Bucket: User login / membership improvements</v>
      </c>
      <c r="L167" t="str">
        <v>Icebox</v>
      </c>
      <c r="M167" t="str">
        <v>Sign in/up</v>
      </c>
      <c r="O167" t="str">
        <v>Usability</v>
      </c>
      <c r="S167" t="str">
        <v>Community mgmt</v>
      </c>
    </row>
    <row r="168">
      <c r="B168" t="str">
        <v>infrastructure-operations</v>
      </c>
      <c r="C168" t="str">
        <v>operations,Epic,Infrastructure</v>
      </c>
      <c r="E168" t="str">
        <v>Reporting: geolocation, sign ups</v>
      </c>
      <c r="L168" t="str">
        <v>Icebox</v>
      </c>
      <c r="O168" t="str">
        <v>Reporting</v>
      </c>
    </row>
    <row r="169">
      <c r="B169" t="str">
        <v>alkemio</v>
      </c>
      <c r="C169" t="str">
        <v>Epic</v>
      </c>
      <c r="E169" t="str">
        <v>Knowledge: Suggested best practice templates</v>
      </c>
      <c r="L169" t="str">
        <v>Icebox</v>
      </c>
      <c r="M169" t="str">
        <v>Templates</v>
      </c>
      <c r="N169">
        <v>6</v>
      </c>
      <c r="S169" t="str">
        <v>Library</v>
      </c>
    </row>
    <row r="170">
      <c r="B170" t="str">
        <v>alkemio</v>
      </c>
      <c r="C170" t="str">
        <v>Epic,Product Discussion</v>
      </c>
      <c r="E170" t="str">
        <v>Activity: Auditing for admins</v>
      </c>
      <c r="L170" t="str">
        <v>Icebox</v>
      </c>
      <c r="M170" t="str">
        <v>Activity feeds</v>
      </c>
    </row>
    <row r="171">
      <c r="B171" t="str">
        <v>alkemio</v>
      </c>
      <c r="C171" t="str">
        <v>Epic,Product Discussion</v>
      </c>
      <c r="E171" t="str">
        <v>Bucket: Guidance: Improvements</v>
      </c>
      <c r="G171" t="str">
        <v>2026-04-02</v>
      </c>
      <c r="L171" t="str">
        <v>Icebox</v>
      </c>
      <c r="M171" t="str">
        <v>Help</v>
      </c>
    </row>
    <row r="172">
      <c r="B172" t="str">
        <v>alkemio</v>
      </c>
      <c r="C172" t="str">
        <v>Epic</v>
      </c>
      <c r="D172" t="str">
        <v>Callouts: additional contribution types</v>
      </c>
      <c r="E172" t="str">
        <v>Choral Explanations</v>
      </c>
      <c r="L172" t="str">
        <v>Icebox</v>
      </c>
      <c r="M172" t="str">
        <v>Callouts</v>
      </c>
      <c r="P172" t="str">
        <v>TIP</v>
      </c>
      <c r="Q172" t="str">
        <v>Functionality: Strategic</v>
      </c>
    </row>
    <row r="173">
      <c r="B173" t="str">
        <v>alkemio</v>
      </c>
      <c r="C173" t="str">
        <v>Epic</v>
      </c>
      <c r="E173" t="str">
        <v>Sharing metrics of Space activity with leads</v>
      </c>
      <c r="L173" t="str">
        <v>Icebox</v>
      </c>
      <c r="M173" t="str">
        <v>Community mgmt</v>
      </c>
      <c r="O173" t="str">
        <v>Reporting</v>
      </c>
    </row>
    <row r="174">
      <c r="A174" t="str">
        <v>Svetoslav Petkov,user</v>
      </c>
      <c r="B174" t="str">
        <v>alkemio</v>
      </c>
      <c r="C174" t="str">
        <v>Epic</v>
      </c>
      <c r="E174" t="str">
        <v>Reporting: (automated) sharing of reports , read only access</v>
      </c>
      <c r="G174" t="str">
        <v>2026-04-02</v>
      </c>
      <c r="I174">
        <v>20</v>
      </c>
      <c r="K174" t="str">
        <v>Improvements</v>
      </c>
      <c r="L174" t="str">
        <v>Being defined</v>
      </c>
      <c r="O174" t="str">
        <v>Reporting</v>
      </c>
      <c r="Q174" t="str">
        <v>Operations: Effectiveness</v>
      </c>
      <c r="R174">
        <v>20</v>
      </c>
    </row>
    <row r="175">
      <c r="B175" t="str">
        <v>alkemio</v>
      </c>
      <c r="C175" t="str">
        <v>Epic,server</v>
      </c>
      <c r="D175" t="str">
        <v>Virtual Contributors: Launch Campaign</v>
      </c>
      <c r="E175" t="str">
        <v>VC: Interaction + quality</v>
      </c>
      <c r="F175" t="str">
        <v>2024-06-18</v>
      </c>
      <c r="G175" t="str">
        <v>2025-04-01</v>
      </c>
      <c r="L175" t="str">
        <v>Done</v>
      </c>
      <c r="M175" t="str">
        <v>Virtual Contributors</v>
      </c>
    </row>
    <row r="176">
      <c r="B176" t="str">
        <v>alkemio</v>
      </c>
      <c r="C176" t="str">
        <v>Epic</v>
      </c>
      <c r="E176" t="str">
        <v>Activity tracking: deletion</v>
      </c>
      <c r="G176" t="str">
        <v>2026-04-02</v>
      </c>
      <c r="I176">
        <v>30</v>
      </c>
      <c r="K176" t="str">
        <v>Improvements</v>
      </c>
      <c r="L176" t="str">
        <v>Being elaborated</v>
      </c>
      <c r="M176" t="str">
        <v>Activity feeds</v>
      </c>
      <c r="Q176" t="str">
        <v>Functionality: Tactical</v>
      </c>
      <c r="R176">
        <v>30</v>
      </c>
    </row>
    <row r="177">
      <c r="B177" t="str">
        <v>alkemio</v>
      </c>
      <c r="C177" t="str">
        <v>Epic</v>
      </c>
      <c r="E177" t="str">
        <v>Bucket: Innovation Library Management, InnovationPack extensions</v>
      </c>
      <c r="G177" t="str">
        <v>2026-04-02</v>
      </c>
      <c r="L177" t="str">
        <v>Roadmap</v>
      </c>
      <c r="M177" t="str">
        <v>Templates</v>
      </c>
      <c r="N177">
        <v>10</v>
      </c>
      <c r="Q177" t="str">
        <v>Functionality: Strategic</v>
      </c>
      <c r="R177">
        <v>30</v>
      </c>
      <c r="S177" t="str">
        <v>Library</v>
      </c>
    </row>
    <row r="178">
      <c r="B178" t="str">
        <v>alkemio</v>
      </c>
      <c r="C178" t="str">
        <v>Epic,A: Platform</v>
      </c>
      <c r="D178" t="str">
        <v>Custom Homepage (former Innovation Hubs)</v>
      </c>
      <c r="E178" t="str">
        <v>Innovation Hubs: Rounding out Functionality</v>
      </c>
      <c r="G178" t="str">
        <v>2026-04-02</v>
      </c>
      <c r="L178" t="str">
        <v>Roadmap</v>
      </c>
      <c r="M178" t="str">
        <v>Custom Homepage</v>
      </c>
      <c r="P178" t="str">
        <v>Digicampus</v>
      </c>
      <c r="Q178" t="str">
        <v>Functionality: Strategic</v>
      </c>
      <c r="R178">
        <v>50</v>
      </c>
    </row>
    <row r="179">
      <c r="B179" t="str">
        <v>alkemio</v>
      </c>
      <c r="C179" t="str">
        <v>Epic,Product Team,A: Platform</v>
      </c>
      <c r="D179" t="str">
        <v>Custom Homepage (former Innovation Hubs)</v>
      </c>
      <c r="E179" t="str">
        <v>Branding at platform level</v>
      </c>
      <c r="L179" t="str">
        <v>Roadmap</v>
      </c>
      <c r="M179" t="str">
        <v>Custom Homepage</v>
      </c>
      <c r="P179" t="str">
        <v>Digicampus</v>
      </c>
      <c r="Q179" t="str">
        <v>Functionality: Strategic</v>
      </c>
      <c r="R179">
        <v>30</v>
      </c>
    </row>
    <row r="180">
      <c r="A180" t="str">
        <v>Valentin Yanakiev</v>
      </c>
      <c r="B180" t="str">
        <v>alkemio</v>
      </c>
      <c r="C180" t="str">
        <v>Epic</v>
      </c>
      <c r="E180" t="str">
        <v>Operations: Kratos Administration</v>
      </c>
      <c r="G180" t="str">
        <v>2026-04-02</v>
      </c>
      <c r="L180" t="str">
        <v>Roadmap</v>
      </c>
      <c r="O180" t="str">
        <v>Platform mgmt</v>
      </c>
      <c r="Q180" t="str">
        <v>Operations: Effectiveness</v>
      </c>
      <c r="R180">
        <v>20</v>
      </c>
    </row>
    <row r="181">
      <c r="B181" t="str">
        <v>alkemio</v>
      </c>
      <c r="C181" t="str">
        <v>Epic,Product Discussion</v>
      </c>
      <c r="D181" t="str">
        <v>Collaboration templates</v>
      </c>
      <c r="E181" t="str">
        <v>Multiple Language Support</v>
      </c>
      <c r="G181" t="str">
        <v>2026-04-02</v>
      </c>
      <c r="L181" t="str">
        <v>Icebox</v>
      </c>
      <c r="M181" t="str">
        <v>Space mgmt</v>
      </c>
      <c r="Q181" t="str">
        <v>Usability</v>
      </c>
    </row>
    <row r="182">
      <c r="B182" t="str">
        <v>alkemio</v>
      </c>
      <c r="C182" t="str">
        <v>Epic,server</v>
      </c>
      <c r="E182" t="str">
        <v>Technical debt: Tags/Innovation flow template functionality redesign</v>
      </c>
      <c r="G182" t="str">
        <v>2026-04-02</v>
      </c>
      <c r="L182" t="str">
        <v>Roadmap</v>
      </c>
      <c r="M182" t="str">
        <v>Innovation flow</v>
      </c>
      <c r="O182" t="str">
        <v>Maintainability</v>
      </c>
    </row>
    <row r="183">
      <c r="B183" t="str">
        <v>alkemio</v>
      </c>
      <c r="C183" t="str">
        <v>Epic,QA</v>
      </c>
      <c r="E183" t="str">
        <v>Performance + scalability testing</v>
      </c>
      <c r="L183" t="str">
        <v>Roadmap</v>
      </c>
      <c r="O183" t="str">
        <v>Performance</v>
      </c>
      <c r="Q183" t="str">
        <v>Performance</v>
      </c>
      <c r="R183">
        <v>30</v>
      </c>
    </row>
    <row r="184">
      <c r="B184" t="str">
        <v>alkemio</v>
      </c>
      <c r="C184" t="str">
        <v>Epic</v>
      </c>
      <c r="D184" t="str">
        <v>Search: Smart</v>
      </c>
      <c r="E184" t="str">
        <v>Search results validated in service</v>
      </c>
      <c r="L184" t="str">
        <v>Roadmap</v>
      </c>
      <c r="M184" t="str">
        <v>Search</v>
      </c>
      <c r="Q184" t="str">
        <v>Performance</v>
      </c>
      <c r="R184">
        <v>30</v>
      </c>
    </row>
    <row r="185">
      <c r="B185" t="str">
        <v>alkemio</v>
      </c>
      <c r="C185" t="str">
        <v>Epic,Product Team,Product Discussion</v>
      </c>
      <c r="E185" t="str">
        <v>Innovation Flow: Definition to include goal/checklist/callouts</v>
      </c>
      <c r="L185" t="str">
        <v>Icebox</v>
      </c>
      <c r="M185" t="str">
        <v>Innovation flow</v>
      </c>
      <c r="Q185" t="str">
        <v>Functionality: Strategic</v>
      </c>
      <c r="R185">
        <v>80</v>
      </c>
    </row>
    <row r="186">
      <c r="A186" t="str">
        <v>Valentin Yanakiev</v>
      </c>
      <c r="B186" t="str">
        <v>infrastructure-operations</v>
      </c>
      <c r="C186" t="str">
        <v>security,Epic</v>
      </c>
      <c r="E186" t="str">
        <v>Security: Secret management</v>
      </c>
      <c r="L186" t="str">
        <v>Roadmap</v>
      </c>
      <c r="O186" t="str">
        <v>Security</v>
      </c>
      <c r="Q186" t="str">
        <v>Operations: Security</v>
      </c>
      <c r="R186">
        <v>20</v>
      </c>
    </row>
    <row r="187">
      <c r="B187" t="str">
        <v>alkemio</v>
      </c>
      <c r="C187" t="str">
        <v>Epic</v>
      </c>
      <c r="E187" t="str">
        <v>Integration of other online tools</v>
      </c>
      <c r="L187" t="str">
        <v>Icebox</v>
      </c>
      <c r="Q187" t="str">
        <v>Functionality: Strategic</v>
      </c>
    </row>
    <row r="188">
      <c r="B188" t="str">
        <v>alkemio</v>
      </c>
      <c r="C188" t="str">
        <v>Epic,Product Team</v>
      </c>
      <c r="E188" t="str">
        <v>Space Visualization component</v>
      </c>
      <c r="L188" t="str">
        <v>Roadmap</v>
      </c>
      <c r="M188" t="str">
        <v>Space structure</v>
      </c>
      <c r="O188" t="str">
        <v>Usability</v>
      </c>
      <c r="Q188" t="str">
        <v>Functionality: Strategic</v>
      </c>
      <c r="R188">
        <v>30</v>
      </c>
    </row>
    <row r="189">
      <c r="B189" t="str">
        <v>alkemio</v>
      </c>
      <c r="C189" t="str">
        <v>Epic</v>
      </c>
      <c r="E189" t="str">
        <v>Sharing: social media</v>
      </c>
      <c r="L189" t="str">
        <v>Icebox</v>
      </c>
      <c r="M189" t="str">
        <v>U2U Communications</v>
      </c>
      <c r="Q189" t="str">
        <v>Usability</v>
      </c>
      <c r="R189">
        <v>20</v>
      </c>
    </row>
    <row r="190">
      <c r="B190" t="str">
        <v>alkemio</v>
      </c>
      <c r="C190" t="str">
        <v>Epic</v>
      </c>
      <c r="D190" t="str">
        <v>Connectivity Graph</v>
      </c>
      <c r="E190" t="str">
        <v>Ecosystem Analytics: prototype</v>
      </c>
      <c r="L190" t="str">
        <v>Roadmap</v>
      </c>
      <c r="M190" t="str">
        <v>Community mgmt</v>
      </c>
      <c r="Q190" t="str">
        <v>Functionality: Strategic</v>
      </c>
      <c r="R190">
        <v>80</v>
      </c>
    </row>
    <row r="191">
      <c r="B191" t="str">
        <v>alkemio</v>
      </c>
      <c r="C191" t="str">
        <v>Epic,Product Team,Product Discussion</v>
      </c>
      <c r="D191" t="str">
        <v>Search: Smart</v>
      </c>
      <c r="E191" t="str">
        <v>Search in Contribute page</v>
      </c>
      <c r="L191" t="str">
        <v>Icebox</v>
      </c>
      <c r="M191" t="str">
        <v>Search</v>
      </c>
      <c r="Q191" t="str">
        <v>Usability</v>
      </c>
      <c r="R191">
        <v>20</v>
      </c>
    </row>
    <row r="192">
      <c r="B192" t="str">
        <v>alkemio</v>
      </c>
      <c r="C192" t="str">
        <v>Epic,Product Discussion</v>
      </c>
      <c r="E192" t="str">
        <v>Innovation Flow: Lifecycles v2</v>
      </c>
      <c r="L192" t="str">
        <v>Roadmap</v>
      </c>
      <c r="M192" t="str">
        <v>Innovation flow</v>
      </c>
      <c r="Q192" t="str">
        <v>Functionality: Strategic</v>
      </c>
      <c r="R192">
        <v>30</v>
      </c>
    </row>
    <row r="193">
      <c r="A193" t="str">
        <v>René Honig,Valentin Yanakiev</v>
      </c>
      <c r="B193" t="str">
        <v>alkemio</v>
      </c>
      <c r="C193" t="str">
        <v>Epic</v>
      </c>
      <c r="E193" t="str">
        <v>Security: Kubernetes hardening</v>
      </c>
      <c r="G193" t="str">
        <v>2026-04-02</v>
      </c>
      <c r="L193" t="str">
        <v>Roadmap</v>
      </c>
      <c r="O193" t="str">
        <v>Security</v>
      </c>
      <c r="Q193" t="str">
        <v>Operations: Security</v>
      </c>
      <c r="R193">
        <v>50</v>
      </c>
    </row>
    <row r="194">
      <c r="A194" t="str">
        <v>Valentin Yanakiev</v>
      </c>
      <c r="B194" t="str">
        <v>infrastructure-operations</v>
      </c>
      <c r="C194" t="str">
        <v>operations,Epic,Infrastructure</v>
      </c>
      <c r="E194" t="str">
        <v>Operational security analysis</v>
      </c>
      <c r="L194" t="str">
        <v>Icebox</v>
      </c>
      <c r="O194" t="str">
        <v>Security</v>
      </c>
      <c r="Q194" t="str">
        <v>Operations: Security</v>
      </c>
      <c r="R194">
        <v>20</v>
      </c>
    </row>
    <row r="195">
      <c r="B195" t="str">
        <v>alkemio</v>
      </c>
      <c r="C195" t="str">
        <v>Epic</v>
      </c>
      <c r="E195" t="str">
        <v>Handling of Time</v>
      </c>
      <c r="L195" t="str">
        <v>Roadmap</v>
      </c>
      <c r="Q195" t="str">
        <v>Usability</v>
      </c>
      <c r="R195">
        <v>30</v>
      </c>
      <c r="T195">
        <v>10</v>
      </c>
    </row>
    <row r="196">
      <c r="A196" t="str">
        <v>Valentin Yanakiev</v>
      </c>
      <c r="B196" t="str">
        <v>alkemio</v>
      </c>
      <c r="C196" t="str">
        <v>Epic,Product Discussion</v>
      </c>
      <c r="E196" t="str">
        <v>Error Handling: Presentation improvements</v>
      </c>
      <c r="L196" t="str">
        <v>Roadmap</v>
      </c>
      <c r="Q196" t="str">
        <v>Usability</v>
      </c>
      <c r="R196">
        <v>30</v>
      </c>
    </row>
    <row r="197">
      <c r="A197" t="str">
        <v>René Honig,Valentin Yanakiev</v>
      </c>
      <c r="B197" t="str">
        <v>hub</v>
      </c>
      <c r="C197" t="str">
        <v>Epic,operations</v>
      </c>
      <c r="E197" t="str">
        <v>Security: Client code execution / injection</v>
      </c>
      <c r="L197" t="str">
        <v>Roadmap</v>
      </c>
      <c r="O197" t="str">
        <v>Security</v>
      </c>
      <c r="Q197" t="str">
        <v>Operations: Security</v>
      </c>
      <c r="R197">
        <v>30</v>
      </c>
    </row>
    <row r="198">
      <c r="B198" t="str">
        <v>alkemio</v>
      </c>
      <c r="C198" t="str">
        <v>Epic,A: Community,Roadmap Discussion</v>
      </c>
      <c r="D198" t="str">
        <v>User Engagement with the platform</v>
      </c>
      <c r="E198" t="str">
        <v>Improved signup flow: Newsletter registration, GDPR, ..</v>
      </c>
      <c r="L198" t="str">
        <v>Roadmap</v>
      </c>
      <c r="M198" t="str">
        <v>Sign in/up</v>
      </c>
      <c r="O198" t="str">
        <v>Platform mgmt</v>
      </c>
      <c r="Q198" t="str">
        <v>Functionality: Strategic</v>
      </c>
      <c r="R198">
        <v>20</v>
      </c>
    </row>
    <row r="199">
      <c r="B199" t="str">
        <v>alkemio</v>
      </c>
      <c r="C199" t="str">
        <v>Epic,Security</v>
      </c>
      <c r="E199" t="str">
        <v>Security headers hardening</v>
      </c>
      <c r="L199" t="str">
        <v>Roadmap</v>
      </c>
      <c r="O199" t="str">
        <v>Security</v>
      </c>
      <c r="Q199" t="str">
        <v>Operations: Security</v>
      </c>
      <c r="R199">
        <v>10</v>
      </c>
    </row>
    <row r="200">
      <c r="B200" t="str">
        <v>alkemio</v>
      </c>
      <c r="C200" t="str">
        <v>Epic</v>
      </c>
      <c r="E200" t="str">
        <v>Visuals on Journeys: Enhanced selection + suggested images</v>
      </c>
      <c r="L200" t="str">
        <v>Icebox</v>
      </c>
      <c r="M200" t="str">
        <v>Space mgmt</v>
      </c>
      <c r="O200" t="str">
        <v>Usability</v>
      </c>
      <c r="Q200" t="str">
        <v>Usability</v>
      </c>
      <c r="R200">
        <v>30</v>
      </c>
    </row>
    <row r="201">
      <c r="B201" t="str">
        <v>alkemio</v>
      </c>
      <c r="C201" t="str">
        <v>Epic,Roadmap Candidate</v>
      </c>
      <c r="E201" t="str">
        <v>Client component library in Figma</v>
      </c>
      <c r="G201" t="str">
        <v>2026-04-02</v>
      </c>
      <c r="K201" t="str">
        <v>Improvements</v>
      </c>
      <c r="L201" t="str">
        <v>Being defined</v>
      </c>
      <c r="Q201" t="str">
        <v>Operations: Effectiveness</v>
      </c>
      <c r="T201">
        <v>8</v>
      </c>
    </row>
    <row r="202">
      <c r="B202" t="str">
        <v>alkemio</v>
      </c>
      <c r="C202" t="str">
        <v>Epic</v>
      </c>
      <c r="D202" t="str">
        <v>Search: Smart</v>
      </c>
      <c r="E202" t="str">
        <v>Search: richer data</v>
      </c>
      <c r="L202" t="str">
        <v>Roadmap</v>
      </c>
      <c r="M202" t="str">
        <v>Search</v>
      </c>
      <c r="U202" t="str">
        <v>Search</v>
      </c>
    </row>
    <row r="203">
      <c r="B203" t="str">
        <v>alkemio</v>
      </c>
      <c r="C203" t="str">
        <v>Epic</v>
      </c>
      <c r="E203" t="str">
        <v>My Dashboard: live</v>
      </c>
      <c r="G203" t="str">
        <v>2026-04-02</v>
      </c>
      <c r="K203" t="str">
        <v>Improvements</v>
      </c>
      <c r="L203" t="str">
        <v>Roadmap</v>
      </c>
      <c r="M203" t="str">
        <v>My Dashboard</v>
      </c>
      <c r="Q203" t="str">
        <v>Functionality: Tactical</v>
      </c>
    </row>
    <row r="204">
      <c r="B204" t="str">
        <v>alkemio</v>
      </c>
      <c r="C204" t="str">
        <v>Epic,Atlas Team,Rhea Team</v>
      </c>
      <c r="D204" t="str">
        <v>Spaces with Subspaces</v>
      </c>
      <c r="E204" t="str">
        <v>Subspaces: findings, non-urgent fixes, etc.</v>
      </c>
      <c r="G204" t="str">
        <v>2025-04-01</v>
      </c>
      <c r="L204" t="str">
        <v>Done</v>
      </c>
      <c r="M204" t="str">
        <v>Space structure</v>
      </c>
    </row>
    <row r="205">
      <c r="B205" t="str">
        <v>alkemio</v>
      </c>
      <c r="C205" t="str">
        <v>Epic</v>
      </c>
      <c r="D205" t="str">
        <v>Search: Smart</v>
      </c>
      <c r="E205" t="str">
        <v>Search: interaction</v>
      </c>
      <c r="G205" t="str">
        <v>2025-04-01</v>
      </c>
      <c r="L205" t="str">
        <v>Done</v>
      </c>
      <c r="M205" t="str">
        <v>Search</v>
      </c>
    </row>
    <row r="206">
      <c r="B206" t="str">
        <v>alkemio</v>
      </c>
      <c r="C206" t="str">
        <v>Epic</v>
      </c>
      <c r="D206" t="str">
        <v>Create your own Space: GA</v>
      </c>
      <c r="E206" t="str">
        <v>Licensing: Payment flows (Stripe?), upgrade</v>
      </c>
      <c r="L206" t="str">
        <v>Roadmap</v>
      </c>
    </row>
    <row r="207">
      <c r="B207" t="str">
        <v>alkemio</v>
      </c>
      <c r="C207" t="str">
        <v>Epic</v>
      </c>
      <c r="D207" t="str">
        <v>Spaces with Subspaces</v>
      </c>
      <c r="E207" t="str">
        <v xml:space="preserve">Simpler URLs </v>
      </c>
      <c r="G207" t="str">
        <v>2026-04-02</v>
      </c>
      <c r="K207" t="str">
        <v>Improvements</v>
      </c>
      <c r="L207" t="str">
        <v>Being defined</v>
      </c>
      <c r="M207" t="str">
        <v>Navigation</v>
      </c>
    </row>
    <row r="208">
      <c r="B208" t="str">
        <v>alkemio</v>
      </c>
      <c r="C208" t="str">
        <v>Epic</v>
      </c>
      <c r="D208" t="str">
        <v>Create your own Space: GA</v>
      </c>
      <c r="E208" t="str">
        <v>Account Mgmt v2: bucket (orgs, verification. ...)</v>
      </c>
      <c r="L208" t="str">
        <v>New</v>
      </c>
    </row>
    <row r="209">
      <c r="B209" t="str">
        <v>alkemio</v>
      </c>
      <c r="C209" t="str">
        <v>Epic</v>
      </c>
      <c r="D209" t="str">
        <v>User Engagement with the platform</v>
      </c>
      <c r="E209" t="str">
        <v>Inviting people for platform role</v>
      </c>
      <c r="G209" t="str">
        <v>2026-04-02</v>
      </c>
      <c r="L209" t="str">
        <v>New</v>
      </c>
    </row>
    <row r="210">
      <c r="B210" t="str">
        <v>alkemio</v>
      </c>
      <c r="C210" t="str">
        <v>Epic</v>
      </c>
      <c r="E210" t="str">
        <v>Using Temporary Storage</v>
      </c>
      <c r="L210" t="str">
        <v>Being elaborated</v>
      </c>
    </row>
    <row r="211">
      <c r="A211" t="str">
        <v>Valentin Yanakiev</v>
      </c>
      <c r="B211" t="str">
        <v>alkemio</v>
      </c>
      <c r="C211" t="str">
        <v>Epic,Infrastructure</v>
      </c>
      <c r="E211" t="str">
        <v>Storage management</v>
      </c>
      <c r="F211" t="str">
        <v>2025-10-28</v>
      </c>
      <c r="L211" t="str">
        <v>Being defined</v>
      </c>
    </row>
    <row r="212">
      <c r="B212" t="str">
        <v>alkemio</v>
      </c>
      <c r="C212" t="str">
        <v>Epic,Atlas Team</v>
      </c>
      <c r="E212" t="str">
        <v>Authorization: acting on behalf of</v>
      </c>
      <c r="L212" t="str">
        <v>Roadmap</v>
      </c>
    </row>
    <row r="213">
      <c r="B213" t="str">
        <v>alkemio</v>
      </c>
      <c r="C213" t="str">
        <v>Initiative</v>
      </c>
      <c r="E213" t="str">
        <v>I: Analytics via connectivity graph v1</v>
      </c>
      <c r="L213" t="str">
        <v>Being defined</v>
      </c>
    </row>
    <row r="214">
      <c r="B214" t="str">
        <v>alkemio</v>
      </c>
      <c r="C214" t="str">
        <v>Initiative</v>
      </c>
      <c r="E214" t="str">
        <v>I: Maintainability</v>
      </c>
      <c r="L214" t="str">
        <v>Being defined</v>
      </c>
    </row>
    <row r="215">
      <c r="B215" t="str">
        <v>alkemio</v>
      </c>
      <c r="C215" t="str">
        <v>Initiative</v>
      </c>
      <c r="E215" t="str">
        <v>I: Journey structure refresh</v>
      </c>
      <c r="F215" t="str">
        <v>2023-03-14</v>
      </c>
      <c r="L215" t="str">
        <v>Being defined</v>
      </c>
    </row>
    <row r="216">
      <c r="B216" t="str">
        <v>alkemio</v>
      </c>
      <c r="C216" t="str">
        <v>Initiative</v>
      </c>
      <c r="E216" t="str">
        <v xml:space="preserve">Innovation library - Agreements </v>
      </c>
      <c r="L216" t="str">
        <v>Being defined</v>
      </c>
      <c r="M216" t="str">
        <v>Library</v>
      </c>
    </row>
    <row r="217">
      <c r="B217" t="str">
        <v>alkemio</v>
      </c>
      <c r="C217" t="str">
        <v>Initiative</v>
      </c>
      <c r="E217" t="str">
        <v>I: Onboarding the community</v>
      </c>
      <c r="L217" t="str">
        <v>Being defined</v>
      </c>
    </row>
    <row r="218">
      <c r="B218" t="str">
        <v>alkemio</v>
      </c>
      <c r="C218" t="str">
        <v>Initiative</v>
      </c>
      <c r="E218" t="str">
        <v>I: Innovation Hubs</v>
      </c>
      <c r="L218" t="str">
        <v>Being defined</v>
      </c>
    </row>
    <row r="219">
      <c r="B219" t="str">
        <v>alkemio</v>
      </c>
      <c r="C219" t="str">
        <v>Initiative</v>
      </c>
      <c r="E219" t="str">
        <v>I: Platform responsiveness</v>
      </c>
      <c r="L219" t="str">
        <v>Being defined</v>
      </c>
    </row>
    <row r="220">
      <c r="B220" t="str">
        <v>alkemio</v>
      </c>
      <c r="C220" t="str">
        <v>Initiative</v>
      </c>
      <c r="E220" t="str">
        <v>I: Guidance for users</v>
      </c>
      <c r="L220" t="str">
        <v>Being defined</v>
      </c>
    </row>
    <row r="221">
      <c r="B221" t="str">
        <v>alkemio</v>
      </c>
      <c r="C221" t="str">
        <v>Initiative</v>
      </c>
      <c r="E221" t="str">
        <v>I: Platform Management</v>
      </c>
      <c r="L221" t="str">
        <v>Being defined</v>
      </c>
    </row>
    <row r="222">
      <c r="B222" t="str">
        <v>alkemio</v>
      </c>
      <c r="C222" t="str">
        <v>Initiative</v>
      </c>
      <c r="E222" t="str">
        <v>I: Accessibility</v>
      </c>
      <c r="L222" t="str">
        <v>Being defined</v>
      </c>
      <c r="O222" t="str">
        <v>Accessibility</v>
      </c>
    </row>
    <row r="223">
      <c r="B223" t="str">
        <v>alkemio</v>
      </c>
      <c r="C223" t="str">
        <v>Initiative</v>
      </c>
      <c r="E223" t="str">
        <v>I: Content + Knowledge Management</v>
      </c>
      <c r="L223" t="str">
        <v>Being defined</v>
      </c>
    </row>
    <row r="224">
      <c r="B224" t="str">
        <v>alkemio</v>
      </c>
      <c r="C224" t="str">
        <v>Initiative</v>
      </c>
      <c r="E224" t="str">
        <v>I: Notifications</v>
      </c>
      <c r="L224" t="str">
        <v>Being defined</v>
      </c>
      <c r="M224" t="str">
        <v>Notifications</v>
      </c>
    </row>
    <row r="225">
      <c r="B225" t="str">
        <v>alkemio</v>
      </c>
      <c r="C225" t="str">
        <v>Initiative</v>
      </c>
      <c r="E225" t="str">
        <v>I: Library population, usage + feedback</v>
      </c>
      <c r="L225" t="str">
        <v>Being defined</v>
      </c>
      <c r="M225" t="str">
        <v>Library</v>
      </c>
    </row>
    <row r="226">
      <c r="B226" t="str">
        <v>alkemio</v>
      </c>
      <c r="C226" t="str">
        <v>Initiative</v>
      </c>
      <c r="E226" t="str">
        <v>Content on the platform</v>
      </c>
      <c r="L226" t="str">
        <v>Being defined</v>
      </c>
    </row>
    <row r="227">
      <c r="B227" t="str">
        <v>alkemio</v>
      </c>
      <c r="C227" t="str">
        <v>Initiative</v>
      </c>
      <c r="E227" t="str">
        <v>I: Innovation Library</v>
      </c>
      <c r="L227" t="str">
        <v>Being defined</v>
      </c>
      <c r="M227" t="str">
        <v>Library</v>
      </c>
    </row>
    <row r="228">
      <c r="B228" t="str">
        <v>alkemio</v>
      </c>
      <c r="C228" t="str">
        <v>Initiative</v>
      </c>
      <c r="E228" t="str">
        <v>I: Enriched User Profiles</v>
      </c>
      <c r="L228" t="str">
        <v>Being defined</v>
      </c>
    </row>
    <row r="229">
      <c r="B229" t="str">
        <v>alkemio</v>
      </c>
      <c r="C229" t="str">
        <v>Initiative</v>
      </c>
      <c r="E229" t="str">
        <v>I: Smart search</v>
      </c>
      <c r="L229" t="str">
        <v>Being defined</v>
      </c>
      <c r="M229" t="str">
        <v>Search</v>
      </c>
    </row>
    <row r="230">
      <c r="B230" t="str">
        <v>alkemio</v>
      </c>
      <c r="C230" t="str">
        <v>Epic</v>
      </c>
      <c r="E230" t="str">
        <v>Reporting: access, other features requiring license</v>
      </c>
      <c r="L230" t="str">
        <v>Roadmap</v>
      </c>
      <c r="O230" t="str">
        <v>Reporting</v>
      </c>
    </row>
    <row r="231">
      <c r="B231" t="str">
        <v>alkemio</v>
      </c>
      <c r="C231" t="str">
        <v>Initiative</v>
      </c>
      <c r="E231" t="str">
        <v xml:space="preserve">I: RT Whiteboard </v>
      </c>
      <c r="L231" t="str">
        <v>Being defined</v>
      </c>
    </row>
    <row r="232">
      <c r="B232" t="str">
        <v>alkemio</v>
      </c>
      <c r="C232" t="str">
        <v>Epic,Product Discussion</v>
      </c>
      <c r="D232" t="str">
        <v>Smoothly joining a community</v>
      </c>
      <c r="E232" t="str">
        <v>Specify the email sender for community notification emails</v>
      </c>
      <c r="L232" t="str">
        <v>New</v>
      </c>
      <c r="M232" t="str">
        <v>Community mgmt</v>
      </c>
    </row>
    <row r="233">
      <c r="B233" t="str">
        <v>alkemio</v>
      </c>
      <c r="C233" t="str">
        <v>Epic,Product Team</v>
      </c>
      <c r="E233" t="str">
        <v>Membership models</v>
      </c>
      <c r="L233" t="str">
        <v>New</v>
      </c>
      <c r="M233" t="str">
        <v>Community mgmt</v>
      </c>
      <c r="S233" t="str">
        <v>Contributor Profiles</v>
      </c>
    </row>
    <row r="234">
      <c r="B234" t="str">
        <v>alkemio</v>
      </c>
      <c r="C234" t="str">
        <v>Epic,Product Team</v>
      </c>
      <c r="E234" t="str">
        <v>Hide / turn functionalities off</v>
      </c>
      <c r="L234" t="str">
        <v>Icebox</v>
      </c>
      <c r="M234" t="str">
        <v>Space structure</v>
      </c>
      <c r="O234" t="str">
        <v>Usability</v>
      </c>
      <c r="Q234" t="str">
        <v>Usability</v>
      </c>
    </row>
    <row r="235">
      <c r="B235" t="str">
        <v>alkemio</v>
      </c>
      <c r="C235" t="str">
        <v>Epic</v>
      </c>
      <c r="E235" t="str">
        <v>Release mgmt: optimization</v>
      </c>
      <c r="L235" t="str">
        <v>New</v>
      </c>
      <c r="O235" t="str">
        <v>Platform mgmt</v>
      </c>
    </row>
    <row r="236">
      <c r="B236" t="str">
        <v>alkemio</v>
      </c>
      <c r="C236" t="str">
        <v>Epic,client</v>
      </c>
      <c r="E236" t="str">
        <v>Compliance: Tracking + cookie handling on client</v>
      </c>
      <c r="L236" t="str">
        <v>New</v>
      </c>
      <c r="O236" t="str">
        <v>Platform mgmt</v>
      </c>
    </row>
    <row r="237">
      <c r="B237" t="str">
        <v>alkemio</v>
      </c>
      <c r="C237" t="str">
        <v>Epic,Infrastructure,server</v>
      </c>
      <c r="E237" t="str">
        <v>Single type of Database</v>
      </c>
      <c r="G237" t="str">
        <v>2025-04-01</v>
      </c>
      <c r="L237" t="str">
        <v>Done</v>
      </c>
      <c r="O237" t="str">
        <v>Platform mgmt</v>
      </c>
    </row>
    <row r="238">
      <c r="B238" t="str">
        <v>alkemio</v>
      </c>
      <c r="C238" t="str">
        <v>Epic</v>
      </c>
      <c r="E238" t="str">
        <v>Data integrity v3</v>
      </c>
      <c r="L238" t="str">
        <v>New</v>
      </c>
      <c r="O238" t="str">
        <v>Platform mgmt</v>
      </c>
    </row>
    <row r="239">
      <c r="B239" t="str">
        <v>alkemio</v>
      </c>
      <c r="C239" t="str">
        <v>Epic,client</v>
      </c>
      <c r="D239" t="str">
        <v>Search: Smart</v>
      </c>
      <c r="E239" t="str">
        <v>Search: smart tags</v>
      </c>
      <c r="L239" t="str">
        <v>New</v>
      </c>
    </row>
    <row r="240">
      <c r="B240" t="str">
        <v>alkemio</v>
      </c>
      <c r="C240" t="str">
        <v>Epic</v>
      </c>
      <c r="E240" t="str">
        <v>Subscriptions: Challenges</v>
      </c>
      <c r="G240" t="str">
        <v>2025-04-01</v>
      </c>
      <c r="L240" t="str">
        <v>Done</v>
      </c>
      <c r="M240" t="str">
        <v>Licensing</v>
      </c>
    </row>
    <row r="241">
      <c r="B241" t="str">
        <v>alkemio</v>
      </c>
      <c r="C241" t="str">
        <v>Epic</v>
      </c>
      <c r="D241" t="str">
        <v>Products + Licensing</v>
      </c>
      <c r="E241" t="str">
        <v>Subscriptions: Payments infrastructure</v>
      </c>
      <c r="L241" t="str">
        <v>Roadmap</v>
      </c>
      <c r="M241" t="str">
        <v>Licensing</v>
      </c>
    </row>
    <row r="242">
      <c r="B242" t="str">
        <v>alkemio</v>
      </c>
      <c r="C242" t="str">
        <v>Epic</v>
      </c>
      <c r="E242" t="str">
        <v>Bucket: Engaging User Profiles / Profiles per community</v>
      </c>
      <c r="L242" t="str">
        <v>New</v>
      </c>
      <c r="M242" t="str">
        <v>Contributor Profiles</v>
      </c>
    </row>
    <row r="243">
      <c r="B243" t="str">
        <v>alkemio</v>
      </c>
      <c r="C243" t="str">
        <v>Epic</v>
      </c>
      <c r="D243" t="str">
        <v>Whiteboard to generate content</v>
      </c>
      <c r="E243" t="str">
        <v>Whiteboards to generate content</v>
      </c>
      <c r="L243" t="str">
        <v>New</v>
      </c>
    </row>
    <row r="244">
      <c r="B244" t="str">
        <v>alkemio</v>
      </c>
      <c r="C244" t="str">
        <v>Epic</v>
      </c>
      <c r="D244" t="str">
        <v>Connectivity Graph</v>
      </c>
      <c r="E244" t="str">
        <v>Linking contributions</v>
      </c>
      <c r="L244" t="str">
        <v>New</v>
      </c>
      <c r="M244" t="str">
        <v>Callouts</v>
      </c>
      <c r="O244" t="str">
        <v>Usability</v>
      </c>
      <c r="S244" t="str">
        <v>Navigation</v>
      </c>
    </row>
    <row r="245">
      <c r="B245" t="str">
        <v>alkemio</v>
      </c>
      <c r="C245" t="str">
        <v>Epic,QA</v>
      </c>
      <c r="E245" t="str">
        <v>QA: Test suites expanded</v>
      </c>
      <c r="G245" t="str">
        <v>2026-04-02</v>
      </c>
      <c r="L245" t="str">
        <v>Icebox</v>
      </c>
      <c r="O245" t="str">
        <v>Maintainability</v>
      </c>
    </row>
    <row r="246">
      <c r="B246" t="str">
        <v>alkemio</v>
      </c>
      <c r="C246" t="str">
        <v>Epic</v>
      </c>
      <c r="E246" t="str">
        <v>Test Suites Tech Debt</v>
      </c>
      <c r="L246" t="str">
        <v>New</v>
      </c>
      <c r="O246" t="str">
        <v>Maintainability</v>
      </c>
    </row>
    <row r="247">
      <c r="B247" t="str">
        <v>alkemio</v>
      </c>
      <c r="C247" t="str">
        <v>Epic</v>
      </c>
      <c r="E247" t="str">
        <v>Domain model: refinements</v>
      </c>
      <c r="L247" t="str">
        <v>New</v>
      </c>
      <c r="O247" t="str">
        <v>Maintainability</v>
      </c>
    </row>
    <row r="248">
      <c r="B248" t="str">
        <v>alkemio</v>
      </c>
      <c r="C248" t="str">
        <v>Epic</v>
      </c>
      <c r="E248" t="str">
        <v>Static Code analysis: replacement for BCH</v>
      </c>
      <c r="L248" t="str">
        <v>New</v>
      </c>
      <c r="O248" t="str">
        <v>Maintainability</v>
      </c>
    </row>
    <row r="249">
      <c r="B249" t="str">
        <v>alkemio</v>
      </c>
      <c r="C249" t="str">
        <v>Epic,QA</v>
      </c>
      <c r="E249" t="str">
        <v>QA: Test suite user authentication flows</v>
      </c>
      <c r="G249" t="str">
        <v>2026-04-02</v>
      </c>
      <c r="I249">
        <v>30</v>
      </c>
      <c r="K249" t="str">
        <v>Improvements</v>
      </c>
      <c r="L249" t="str">
        <v>Defined</v>
      </c>
      <c r="M249" t="str">
        <v>Sign in/up</v>
      </c>
      <c r="O249" t="str">
        <v>Maintainability</v>
      </c>
      <c r="Q249" t="str">
        <v>Maintenance</v>
      </c>
      <c r="R249">
        <v>30</v>
      </c>
    </row>
    <row r="250">
      <c r="A250" t="str">
        <v>Neil Smyth</v>
      </c>
      <c r="B250" t="str">
        <v>alkemio</v>
      </c>
      <c r="C250" t="str">
        <v>Epic</v>
      </c>
      <c r="E250" t="str">
        <v>Domain: ActorGroups ==&gt; Actors with Tags</v>
      </c>
      <c r="L250" t="str">
        <v>New</v>
      </c>
      <c r="O250" t="str">
        <v>Maintainability</v>
      </c>
    </row>
    <row r="251">
      <c r="B251" t="str">
        <v>alkemio</v>
      </c>
      <c r="C251" t="str">
        <v>Epic</v>
      </c>
      <c r="E251" t="str">
        <v>Dev Tooling: Migrate to Yarn</v>
      </c>
      <c r="L251" t="str">
        <v>New</v>
      </c>
      <c r="O251" t="str">
        <v>Maintainability</v>
      </c>
    </row>
    <row r="252">
      <c r="B252" t="str">
        <v>alkemio</v>
      </c>
      <c r="C252" t="str">
        <v>Epic</v>
      </c>
      <c r="E252" t="str">
        <v>api: roadmap + design</v>
      </c>
      <c r="L252" t="str">
        <v>New</v>
      </c>
      <c r="O252" t="str">
        <v>Maintainability</v>
      </c>
    </row>
    <row r="253">
      <c r="B253" t="str">
        <v>alkemio</v>
      </c>
      <c r="C253" t="str">
        <v>Epic</v>
      </c>
      <c r="E253" t="str">
        <v>api: enhanced documentation</v>
      </c>
      <c r="L253" t="str">
        <v>New</v>
      </c>
      <c r="O253" t="str">
        <v>Maintainability</v>
      </c>
    </row>
    <row r="254">
      <c r="A254" t="str">
        <v>Neil Smyth</v>
      </c>
      <c r="B254" t="str">
        <v>infrastructure-operations</v>
      </c>
      <c r="C254" t="str">
        <v>operations,Epic,Infrastructure</v>
      </c>
      <c r="E254" t="str">
        <v>Reporting: configuration management + deployment</v>
      </c>
      <c r="L254" t="str">
        <v>New</v>
      </c>
      <c r="O254" t="str">
        <v>Maintainability</v>
      </c>
    </row>
    <row r="255">
      <c r="B255" t="str">
        <v>alkemio</v>
      </c>
      <c r="C255" t="str">
        <v>Epic</v>
      </c>
      <c r="E255" t="str">
        <v>Emails associated with a user</v>
      </c>
      <c r="L255" t="str">
        <v>New</v>
      </c>
      <c r="M255" t="str">
        <v>Contributor Profiles</v>
      </c>
    </row>
    <row r="256">
      <c r="B256" t="str">
        <v>alkemio</v>
      </c>
      <c r="C256" t="str">
        <v>Epic</v>
      </c>
      <c r="E256" t="str">
        <v>LinkedIn: connected accounts + usage for populating Alkemio profiles + messages</v>
      </c>
      <c r="L256" t="str">
        <v>New</v>
      </c>
      <c r="M256" t="str">
        <v>Contributor Profiles</v>
      </c>
      <c r="O256" t="str">
        <v>Usability</v>
      </c>
      <c r="S256" t="str">
        <v>Callouts</v>
      </c>
    </row>
    <row r="257">
      <c r="B257" t="str">
        <v>alkemio</v>
      </c>
      <c r="C257" t="str">
        <v>Epic,Product Discussion</v>
      </c>
      <c r="E257" t="str">
        <v>Organizations: Signed up versus profiles</v>
      </c>
      <c r="L257" t="str">
        <v>New</v>
      </c>
      <c r="M257" t="str">
        <v>Contributor Profiles</v>
      </c>
    </row>
    <row r="258">
      <c r="B258" t="str">
        <v>alkemio</v>
      </c>
      <c r="C258" t="str">
        <v>Epic</v>
      </c>
      <c r="E258" t="str">
        <v>Bucket: Enhancing UX: Visual improvements</v>
      </c>
      <c r="L258" t="str">
        <v>Being defined</v>
      </c>
    </row>
    <row r="259">
      <c r="B259" t="str">
        <v>alkemio</v>
      </c>
      <c r="C259" t="str">
        <v>Epic</v>
      </c>
      <c r="E259" t="str">
        <v>Platform visibility Collaboration professionals</v>
      </c>
      <c r="L259" t="str">
        <v>New</v>
      </c>
    </row>
    <row r="260">
      <c r="B260" t="str">
        <v>alkemio</v>
      </c>
      <c r="C260" t="str">
        <v>Epic</v>
      </c>
      <c r="E260" t="str">
        <v>Simple versions of Alkemio</v>
      </c>
      <c r="L260" t="str">
        <v>New</v>
      </c>
    </row>
    <row r="261">
      <c r="B261" t="str">
        <v>infrastructure-operations</v>
      </c>
      <c r="C261" t="str">
        <v>operations,Epic,Infrastructure</v>
      </c>
      <c r="E261" t="str">
        <v>Acc environment on demand</v>
      </c>
      <c r="L261" t="str">
        <v>New</v>
      </c>
      <c r="O261" t="str">
        <v>Platform mgmt</v>
      </c>
    </row>
    <row r="262">
      <c r="B262" t="str">
        <v>test-suites</v>
      </c>
      <c r="C262" t="str">
        <v>Epic,QA</v>
      </c>
      <c r="E262" t="str">
        <v>Vulnerability scanning</v>
      </c>
      <c r="L262" t="str">
        <v>Icebox</v>
      </c>
      <c r="O262" t="str">
        <v>Platform mgmt</v>
      </c>
    </row>
    <row r="263">
      <c r="B263" t="str">
        <v>alkemio</v>
      </c>
      <c r="C263" t="str">
        <v>Epic</v>
      </c>
      <c r="E263" t="str">
        <v>Governance: Security Audit + fixes</v>
      </c>
      <c r="L263" t="str">
        <v>Icebox</v>
      </c>
      <c r="O263" t="str">
        <v>Platform mgmt</v>
      </c>
    </row>
    <row r="264">
      <c r="B264" t="str">
        <v>alkemio</v>
      </c>
      <c r="C264" t="str">
        <v>Epic,Roadmap Candidate</v>
      </c>
      <c r="E264" t="str">
        <v>Database: Robust deletions</v>
      </c>
      <c r="L264" t="str">
        <v>Icebox</v>
      </c>
      <c r="O264" t="str">
        <v>Platform mgmt</v>
      </c>
    </row>
    <row r="265">
      <c r="B265" t="str">
        <v>server</v>
      </c>
      <c r="C265" t="str">
        <v>Epic,user story,server</v>
      </c>
      <c r="E265" t="str">
        <v>ORM Mapping Layer optimisation</v>
      </c>
      <c r="L265" t="str">
        <v>New</v>
      </c>
      <c r="O265" t="str">
        <v>Maintainability</v>
      </c>
    </row>
    <row r="266">
      <c r="B266" t="str">
        <v>test-suites</v>
      </c>
      <c r="C266" t="str">
        <v>Epic,QA</v>
      </c>
      <c r="E266" t="str">
        <v>QA: Test Suites maintainability</v>
      </c>
      <c r="L266" t="str">
        <v>New</v>
      </c>
      <c r="O266" t="str">
        <v>Maintainability</v>
      </c>
    </row>
    <row r="267">
      <c r="B267" t="str">
        <v>test-suites</v>
      </c>
      <c r="C267" t="str">
        <v>Epic,QA</v>
      </c>
      <c r="E267" t="str">
        <v>Subscriptions: Test framework + initial limited test suite</v>
      </c>
      <c r="L267" t="str">
        <v>New</v>
      </c>
      <c r="O267" t="str">
        <v>Maintainability</v>
      </c>
    </row>
    <row r="268">
      <c r="A268" t="str">
        <v>Evgeni Dimitrov</v>
      </c>
      <c r="B268" t="str">
        <v>test-suites</v>
      </c>
      <c r="C268" t="str">
        <v>Epic,QA</v>
      </c>
      <c r="E268" t="str">
        <v>QA: Expand set of server API E2E tests</v>
      </c>
      <c r="L268" t="str">
        <v>New</v>
      </c>
      <c r="O268" t="str">
        <v>Maintainability</v>
      </c>
    </row>
    <row r="269">
      <c r="B269" t="str">
        <v>server</v>
      </c>
      <c r="C269" t="str">
        <v>Epic,user story,server</v>
      </c>
      <c r="E269" t="str">
        <v>Caching at the cluster level</v>
      </c>
      <c r="L269" t="str">
        <v>New</v>
      </c>
      <c r="O269" t="str">
        <v>Maintainability</v>
      </c>
    </row>
    <row r="270">
      <c r="A270" t="str">
        <v>Evgeni Dimitrov</v>
      </c>
      <c r="B270" t="str">
        <v>test-suites</v>
      </c>
      <c r="C270" t="str">
        <v>Epic,QA</v>
      </c>
      <c r="E270" t="str">
        <v>Search UI Tests</v>
      </c>
      <c r="L270" t="str">
        <v>New</v>
      </c>
      <c r="O270" t="str">
        <v>Maintainability</v>
      </c>
    </row>
    <row r="271">
      <c r="B271" t="str">
        <v>test-suites</v>
      </c>
      <c r="C271" t="str">
        <v>Epic,QA</v>
      </c>
      <c r="E271" t="str">
        <v>System test plan tracking</v>
      </c>
      <c r="L271" t="str">
        <v>New</v>
      </c>
      <c r="O271" t="str">
        <v>Maintainability</v>
      </c>
    </row>
    <row r="272">
      <c r="B272" t="str">
        <v>notifications</v>
      </c>
      <c r="C272" t="str">
        <v>Epic</v>
      </c>
      <c r="E272" t="str">
        <v>Notifications: configuration management flexibility</v>
      </c>
      <c r="L272" t="str">
        <v>New</v>
      </c>
      <c r="O272" t="str">
        <v>Maintainability</v>
      </c>
    </row>
    <row r="273">
      <c r="B273" t="str">
        <v>alkemio</v>
      </c>
      <c r="C273" t="str">
        <v>Epic</v>
      </c>
      <c r="E273" t="str">
        <v>Chat Guidance: Multiple sessions</v>
      </c>
      <c r="L273" t="str">
        <v>New</v>
      </c>
      <c r="M273" t="str">
        <v>Help</v>
      </c>
    </row>
    <row r="274">
      <c r="B274" t="str">
        <v>alkemio</v>
      </c>
      <c r="C274" t="str">
        <v>Epic</v>
      </c>
      <c r="D274" t="str">
        <v>Smoothly joining a community</v>
      </c>
      <c r="E274" t="str">
        <v>Transparency on Space settings/library/etc for Space members</v>
      </c>
      <c r="L274" t="str">
        <v>New</v>
      </c>
    </row>
    <row r="275">
      <c r="B275" t="str">
        <v>alkemio</v>
      </c>
      <c r="C275" t="str">
        <v>Epic,Product Team</v>
      </c>
      <c r="E275" t="str">
        <v>Policy Updates</v>
      </c>
      <c r="F275" t="str">
        <v>2024-06-18</v>
      </c>
      <c r="L275" t="str">
        <v>New</v>
      </c>
    </row>
    <row r="276">
      <c r="B276" t="str">
        <v>alkemio</v>
      </c>
      <c r="C276" t="str">
        <v>Epic</v>
      </c>
      <c r="D276" t="str">
        <v>Smoothly joining a community</v>
      </c>
      <c r="E276" t="str">
        <v>Invitations / applications: polishing</v>
      </c>
      <c r="L276" t="str">
        <v>New</v>
      </c>
    </row>
    <row r="277">
      <c r="B277" t="str">
        <v>alkemio</v>
      </c>
      <c r="C277" t="str">
        <v>Epic</v>
      </c>
      <c r="D277" t="str">
        <v>Create your own Space: GA</v>
      </c>
      <c r="E277" t="str">
        <v>User verification flow</v>
      </c>
      <c r="L277" t="str">
        <v>New</v>
      </c>
    </row>
    <row r="278">
      <c r="B278" t="str">
        <v>alkemio</v>
      </c>
      <c r="C278" t="str">
        <v>Epic</v>
      </c>
      <c r="E278" t="str">
        <v>Alkemio Expert Personas: allow creation + management</v>
      </c>
      <c r="G278" t="str">
        <v>2025-07-01</v>
      </c>
      <c r="L278" t="str">
        <v>Done</v>
      </c>
    </row>
    <row r="279">
      <c r="B279" t="str">
        <v>alkemio</v>
      </c>
      <c r="C279" t="str">
        <v>Epic</v>
      </c>
      <c r="E279" t="str">
        <v>VC: Insights on sources used</v>
      </c>
      <c r="G279" t="str">
        <v>2025-07-01</v>
      </c>
      <c r="L279" t="str">
        <v>Done</v>
      </c>
      <c r="M279" t="str">
        <v>Virtual Contributors</v>
      </c>
    </row>
    <row r="280">
      <c r="B280" t="str">
        <v>alkemio</v>
      </c>
      <c r="C280" t="str">
        <v>Epic</v>
      </c>
      <c r="E280" t="str">
        <v>Space AI service - EU LLM</v>
      </c>
      <c r="G280" t="str">
        <v>2025-10-01</v>
      </c>
      <c r="L280" t="str">
        <v>Done</v>
      </c>
      <c r="M280" t="str">
        <v>Virtual Contributors</v>
      </c>
    </row>
    <row r="281">
      <c r="B281" t="str">
        <v>alkemio</v>
      </c>
      <c r="C281" t="str">
        <v>Epic</v>
      </c>
      <c r="E281" t="str">
        <v>Cluster Health Monitoring Dashboards</v>
      </c>
      <c r="L281" t="str">
        <v>New</v>
      </c>
    </row>
    <row r="282">
      <c r="B282" t="str">
        <v>alkemio</v>
      </c>
      <c r="C282" t="str">
        <v>Epic</v>
      </c>
      <c r="E282" t="str">
        <v>Bucket: VC improving the answers/response</v>
      </c>
      <c r="L282" t="str">
        <v>New</v>
      </c>
      <c r="M282" t="str">
        <v>Virtual Contributors</v>
      </c>
      <c r="N282">
        <v>10</v>
      </c>
    </row>
    <row r="283">
      <c r="B283" t="str">
        <v>alkemio</v>
      </c>
      <c r="C283" t="str">
        <v>Epic</v>
      </c>
      <c r="E283" t="str">
        <v>Stability: Client error tracing + reproduction</v>
      </c>
      <c r="L283" t="str">
        <v>New</v>
      </c>
    </row>
    <row r="284">
      <c r="B284" t="str">
        <v>alkemio</v>
      </c>
      <c r="C284" t="str">
        <v>Epic,QA,Product Discussion</v>
      </c>
      <c r="E284" t="str">
        <v>Performance Test Suite for api</v>
      </c>
      <c r="L284" t="str">
        <v>New</v>
      </c>
    </row>
    <row r="285">
      <c r="B285" t="str">
        <v>alkemio</v>
      </c>
      <c r="C285" t="str">
        <v>Epic,Roadmap Discussion</v>
      </c>
      <c r="D285" t="str">
        <v>Products + Licensing</v>
      </c>
      <c r="E285" t="str">
        <v>Space Template</v>
      </c>
      <c r="G285" t="str">
        <v>2025-04-01</v>
      </c>
      <c r="L285" t="str">
        <v>Done</v>
      </c>
    </row>
    <row r="286">
      <c r="B286" t="str">
        <v>alkemio</v>
      </c>
      <c r="C286" t="str">
        <v>Epic</v>
      </c>
      <c r="D286" t="str">
        <v>Innovation Professional Support</v>
      </c>
      <c r="E286" t="str">
        <v>Act as...</v>
      </c>
      <c r="L286" t="str">
        <v>New</v>
      </c>
    </row>
    <row r="287">
      <c r="B287" t="str">
        <v>alkemio</v>
      </c>
      <c r="C287" t="str">
        <v>Epic</v>
      </c>
      <c r="E287" t="str">
        <v>Bucket: Open Source Integrations</v>
      </c>
      <c r="L287" t="str">
        <v>New</v>
      </c>
    </row>
    <row r="288">
      <c r="B288" t="str">
        <v>alkemio</v>
      </c>
      <c r="C288" t="str">
        <v>Epic</v>
      </c>
      <c r="E288" t="str">
        <v>Consistency in notifications for interaction in a space</v>
      </c>
      <c r="L288" t="str">
        <v>New</v>
      </c>
    </row>
    <row r="289">
      <c r="B289" t="str">
        <v>alkemio</v>
      </c>
      <c r="C289" t="str">
        <v>Epic</v>
      </c>
      <c r="E289" t="str">
        <v>Onboarding new Space members - after sign-up flow</v>
      </c>
      <c r="L289" t="str">
        <v>New</v>
      </c>
    </row>
    <row r="290">
      <c r="B290" t="str">
        <v>alkemio</v>
      </c>
      <c r="C290" t="str">
        <v>Epic,Product Discussion</v>
      </c>
      <c r="E290" t="str">
        <v>VS: Meta information on knowledge base</v>
      </c>
      <c r="L290" t="str">
        <v>New</v>
      </c>
    </row>
    <row r="291">
      <c r="B291" t="str">
        <v>alkemio</v>
      </c>
      <c r="C291" t="str">
        <v>Epic</v>
      </c>
      <c r="E291" t="str">
        <v>Enhance Tag Management and Usability</v>
      </c>
      <c r="G291" t="str">
        <v>2026-04-02</v>
      </c>
      <c r="L291" t="str">
        <v>Being elaborated</v>
      </c>
    </row>
    <row r="292">
      <c r="B292" t="str">
        <v>alkemio</v>
      </c>
      <c r="C292" t="str">
        <v>Epic</v>
      </c>
      <c r="D292" t="str">
        <v>Richer interaction inside the Space</v>
      </c>
      <c r="E292" t="str">
        <v>New Callout type (partner preference)</v>
      </c>
      <c r="I292">
        <v>30</v>
      </c>
      <c r="L292" t="str">
        <v>Roadmap</v>
      </c>
      <c r="M292" t="str">
        <v>Callouts</v>
      </c>
      <c r="O292" t="str">
        <v>Usability</v>
      </c>
    </row>
    <row r="293">
      <c r="B293" t="str">
        <v>alkemio</v>
      </c>
      <c r="C293" t="str">
        <v>Epic,Roadmap Discussion</v>
      </c>
      <c r="D293" t="str">
        <v>Usage insights</v>
      </c>
      <c r="E293" t="str">
        <v xml:space="preserve"> Reporting: additional details</v>
      </c>
      <c r="G293" t="str">
        <v>2026-04-02</v>
      </c>
      <c r="I293">
        <v>8</v>
      </c>
      <c r="L293" t="str">
        <v>New</v>
      </c>
      <c r="O293" t="str">
        <v>Reporting</v>
      </c>
    </row>
    <row r="294">
      <c r="B294" t="str">
        <v>alkemio</v>
      </c>
      <c r="C294" t="str">
        <v>Epic,client</v>
      </c>
      <c r="E294" t="str">
        <v>Client: Tech debt - Bucket</v>
      </c>
      <c r="G294" t="str">
        <v>2026-04-02</v>
      </c>
      <c r="L294" t="str">
        <v>Being elaborated</v>
      </c>
      <c r="O294" t="str">
        <v>Maintainability</v>
      </c>
    </row>
    <row r="295">
      <c r="B295" t="str">
        <v>alkemio</v>
      </c>
      <c r="C295" t="str">
        <v>Epic</v>
      </c>
      <c r="E295" t="str">
        <v>Client Optimization: Optimizing Assets: images</v>
      </c>
      <c r="F295" t="str">
        <v>2025-10-28</v>
      </c>
      <c r="G295" t="str">
        <v>2026-04-02</v>
      </c>
      <c r="L295" t="str">
        <v>New</v>
      </c>
      <c r="Q295" t="str">
        <v>Performance</v>
      </c>
    </row>
    <row r="296">
      <c r="B296" t="str">
        <v>alkemio</v>
      </c>
      <c r="C296" t="str">
        <v>Epic</v>
      </c>
      <c r="E296" t="str">
        <v>Client Optimization: Server Calls</v>
      </c>
      <c r="G296" t="str">
        <v>2026-04-02</v>
      </c>
      <c r="L296" t="str">
        <v>New</v>
      </c>
      <c r="Q296" t="str">
        <v>Performance</v>
      </c>
    </row>
    <row r="297">
      <c r="B297" t="str">
        <v>alkemio</v>
      </c>
      <c r="C297" t="str">
        <v>Epic,A: Community</v>
      </c>
      <c r="E297" t="str">
        <v>Open Badges support</v>
      </c>
      <c r="L297" t="str">
        <v>New</v>
      </c>
    </row>
    <row r="298">
      <c r="B298" t="str">
        <v>alkemio</v>
      </c>
      <c r="C298" t="str">
        <v>Epic</v>
      </c>
      <c r="E298" t="str">
        <v xml:space="preserve">Bucket: User Documentation </v>
      </c>
      <c r="L298" t="str">
        <v>Being elaborated</v>
      </c>
    </row>
    <row r="299">
      <c r="B299" t="str">
        <v>alkemio</v>
      </c>
      <c r="C299" t="str">
        <v>Epic,Roadmap Discussion,Product Discussion</v>
      </c>
      <c r="E299" t="str">
        <v>Space language</v>
      </c>
      <c r="L299" t="str">
        <v>New</v>
      </c>
    </row>
    <row r="300">
      <c r="B300" t="str">
        <v>alkemio</v>
      </c>
      <c r="C300" t="str">
        <v>Epic,Roadmap Discussion,Product Discussion</v>
      </c>
      <c r="E300" t="str">
        <v>Polis</v>
      </c>
      <c r="L300" t="str">
        <v>New</v>
      </c>
    </row>
    <row r="301">
      <c r="B301" t="str">
        <v>alkemio</v>
      </c>
      <c r="C301" t="str">
        <v>Epic,Roadmap Discussion</v>
      </c>
      <c r="E301" t="str">
        <v>Privacy/GDPR: user control on visibility</v>
      </c>
      <c r="F301" t="str">
        <v>2025-10-28</v>
      </c>
      <c r="L301" t="str">
        <v>New</v>
      </c>
    </row>
    <row r="302">
      <c r="B302" t="str">
        <v>alkemio</v>
      </c>
      <c r="C302" t="str">
        <v>Epic,Product Team</v>
      </c>
      <c r="E302" t="str">
        <v>Dutch website + documentation</v>
      </c>
      <c r="L302" t="str">
        <v>New</v>
      </c>
    </row>
    <row r="303">
      <c r="B303" t="str">
        <v>alkemio</v>
      </c>
      <c r="C303" t="str">
        <v>Epic,Product Discussion</v>
      </c>
      <c r="E303" t="str">
        <v>Transfer of Callouts between spaces</v>
      </c>
      <c r="L303" t="str">
        <v>New</v>
      </c>
    </row>
    <row r="304">
      <c r="B304" t="str">
        <v>alkemio</v>
      </c>
      <c r="C304" t="str">
        <v>Epic</v>
      </c>
      <c r="E304" t="str">
        <v>3rd party upgrade Q1+2 2025</v>
      </c>
      <c r="G304" t="str">
        <v>2026-04-02</v>
      </c>
      <c r="L304" t="str">
        <v>New</v>
      </c>
    </row>
    <row r="305">
      <c r="B305" t="str">
        <v>alkemio</v>
      </c>
      <c r="C305" t="str">
        <v>Epic</v>
      </c>
      <c r="E305" t="str">
        <v>Bucket: Innovation flows</v>
      </c>
      <c r="L305" t="str">
        <v>Icebox</v>
      </c>
      <c r="M305" t="str">
        <v>Innovation flow</v>
      </c>
    </row>
    <row r="306">
      <c r="B306" t="str">
        <v>alkemio</v>
      </c>
      <c r="C306" t="str">
        <v>Epic</v>
      </c>
      <c r="E306" t="str">
        <v>VC: Work product output</v>
      </c>
      <c r="L306" t="str">
        <v>New</v>
      </c>
      <c r="M306" t="str">
        <v>Virtual Contributors</v>
      </c>
      <c r="N306">
        <v>3</v>
      </c>
    </row>
    <row r="307">
      <c r="B307" t="str">
        <v>alkemio</v>
      </c>
      <c r="C307" t="str">
        <v>Epic</v>
      </c>
      <c r="E307" t="str">
        <v>VC: Workproduct input</v>
      </c>
      <c r="L307" t="str">
        <v>New</v>
      </c>
      <c r="M307" t="str">
        <v>Virtual Contributors</v>
      </c>
      <c r="N307">
        <v>3</v>
      </c>
    </row>
    <row r="308">
      <c r="B308" t="str">
        <v>alkemio</v>
      </c>
      <c r="C308" t="str">
        <v>Epic</v>
      </c>
      <c r="E308" t="str">
        <v>Onboarding flow: polishing</v>
      </c>
      <c r="L308" t="str">
        <v>New</v>
      </c>
      <c r="M308" t="str">
        <v>Community mgmt</v>
      </c>
    </row>
    <row r="309">
      <c r="B309" t="str">
        <v>alkemio</v>
      </c>
      <c r="C309" t="str">
        <v>Epic</v>
      </c>
      <c r="E309" t="str">
        <v>Butcket: UX around a release</v>
      </c>
      <c r="L309" t="str">
        <v>New</v>
      </c>
      <c r="O309" t="str">
        <v>Performance</v>
      </c>
    </row>
    <row r="310">
      <c r="B310" t="str">
        <v>alkemio</v>
      </c>
      <c r="C310" t="str">
        <v>Epic,Product Discussion</v>
      </c>
      <c r="E310" t="str">
        <v>New Callout Types</v>
      </c>
      <c r="L310" t="str">
        <v>New</v>
      </c>
    </row>
    <row r="311">
      <c r="B311" t="str">
        <v>alkemio</v>
      </c>
      <c r="C311" t="str">
        <v>Epic</v>
      </c>
      <c r="E311" t="str">
        <v>Bucket: OS/Browser version issues (to keep track)</v>
      </c>
      <c r="L311" t="str">
        <v>New</v>
      </c>
      <c r="O311" t="str">
        <v>Performance</v>
      </c>
    </row>
    <row r="312">
      <c r="B312" t="str">
        <v>alkemio</v>
      </c>
      <c r="C312" t="str">
        <v>Epic</v>
      </c>
      <c r="E312" t="str">
        <v>Matrix: Interaction with rooms outside directly</v>
      </c>
      <c r="L312" t="str">
        <v>New</v>
      </c>
    </row>
    <row r="313">
      <c r="B313" t="str">
        <v>alkemio</v>
      </c>
      <c r="C313" t="str">
        <v>Epic,Product Discussion</v>
      </c>
      <c r="E313" t="str">
        <v>Infrastructure Cost optimization</v>
      </c>
      <c r="F313" t="str">
        <v>2025-10-14</v>
      </c>
      <c r="L313" t="str">
        <v>New</v>
      </c>
    </row>
    <row r="314">
      <c r="B314" t="str">
        <v>alkemio</v>
      </c>
      <c r="C314" t="str">
        <v>Epic</v>
      </c>
      <c r="E314" t="str">
        <v>Basic usage supported on mobile</v>
      </c>
      <c r="F314" t="str">
        <v>2025-10-14</v>
      </c>
      <c r="G314" t="str">
        <v>2026-04-02</v>
      </c>
      <c r="L314" t="str">
        <v>New</v>
      </c>
    </row>
    <row r="315">
      <c r="B315" t="str">
        <v>alkemio</v>
      </c>
      <c r="C315" t="str">
        <v>Epic</v>
      </c>
      <c r="E315" t="str">
        <v>Security: Control of provider per organization</v>
      </c>
      <c r="G315" t="str">
        <v>2026-04-02</v>
      </c>
      <c r="L315" t="str">
        <v>Roadmap</v>
      </c>
      <c r="O315" t="str">
        <v>Security</v>
      </c>
      <c r="Q315" t="str">
        <v>Functionality: Tactical</v>
      </c>
      <c r="R315">
        <v>50</v>
      </c>
    </row>
    <row r="316">
      <c r="A316" t="str">
        <v>Valentin Yanakiev</v>
      </c>
      <c r="B316" t="str">
        <v>alkemio</v>
      </c>
      <c r="C316" t="str">
        <v>Epic,Align Z-GP</v>
      </c>
      <c r="E316" t="str">
        <v>Platform admin: Identities</v>
      </c>
      <c r="F316" t="str">
        <v>2025-09-02</v>
      </c>
      <c r="G316" t="str">
        <v>2025-07-01</v>
      </c>
      <c r="L316" t="str">
        <v>Done</v>
      </c>
    </row>
    <row r="317">
      <c r="B317" t="str">
        <v>alkemio</v>
      </c>
      <c r="C317" t="str">
        <v>Epic,Product Discussion</v>
      </c>
      <c r="D317" t="str">
        <v>Spaces with Subspaces</v>
      </c>
      <c r="E317" t="str">
        <v>Private sub-subspace</v>
      </c>
      <c r="G317" t="str">
        <v>2025-07-01</v>
      </c>
      <c r="I317">
        <v>20</v>
      </c>
      <c r="K317" t="str">
        <v>New features</v>
      </c>
      <c r="L317" t="str">
        <v>Done</v>
      </c>
      <c r="M317" t="str">
        <v>Space mgmt</v>
      </c>
      <c r="Q317" t="str">
        <v>Functionality: Tactical</v>
      </c>
      <c r="R317">
        <v>20</v>
      </c>
    </row>
    <row r="318">
      <c r="B318" t="str">
        <v>alkemio</v>
      </c>
      <c r="C318" t="str">
        <v>Epic,Align Z-GP</v>
      </c>
      <c r="E318" t="str">
        <v>Callouts: updated UI/UX 2.0</v>
      </c>
      <c r="G318" t="str">
        <v>2025-04-01</v>
      </c>
      <c r="L318" t="str">
        <v>Done</v>
      </c>
    </row>
    <row r="319">
      <c r="B319" t="str">
        <v>alkemio</v>
      </c>
      <c r="C319" t="str">
        <v>Epic,server,Atlas Team</v>
      </c>
      <c r="E319" t="str">
        <v>Graphql: leverage capabilities + market tooling</v>
      </c>
      <c r="G319" t="str">
        <v>2026-01-01</v>
      </c>
      <c r="L319" t="str">
        <v>New</v>
      </c>
    </row>
    <row r="320">
      <c r="B320" t="str">
        <v>alkemio</v>
      </c>
      <c r="C320" t="str">
        <v>Epic,Align Z-GP</v>
      </c>
      <c r="E320" t="str">
        <v>Server: code clean up + optimization  v2</v>
      </c>
      <c r="G320" t="str">
        <v>2025-10-01</v>
      </c>
      <c r="L320" t="str">
        <v>New</v>
      </c>
    </row>
    <row r="321">
      <c r="B321" t="str">
        <v>alkemio</v>
      </c>
      <c r="C321" t="str">
        <v>Epic,Align Z-GP</v>
      </c>
      <c r="E321" t="str">
        <v>Home page refresh</v>
      </c>
      <c r="G321" t="str">
        <v>2025-10-01</v>
      </c>
      <c r="L321" t="str">
        <v>New</v>
      </c>
    </row>
    <row r="322">
      <c r="A322" t="str">
        <v>Svetoslav Petkov</v>
      </c>
      <c r="B322" t="str">
        <v>alkemio</v>
      </c>
      <c r="C322" t="str">
        <v>Epic,Product Team</v>
      </c>
      <c r="D322" t="str">
        <v>Library: Innovation Pack management</v>
      </c>
      <c r="E322" t="str">
        <v>Done</v>
      </c>
      <c r="H322" t="str">
        <v>2023 Q2</v>
      </c>
      <c r="I322">
        <v>50</v>
      </c>
    </row>
    <row r="323">
      <c r="B323" t="str">
        <v>alkemio</v>
      </c>
      <c r="C323" t="str">
        <v>Epic</v>
      </c>
      <c r="D323" t="str">
        <v>Analytics + monitoring: Dedicated elastic cluster</v>
      </c>
      <c r="E323" t="str">
        <v>Done</v>
      </c>
      <c r="F323" t="str">
        <v>2023-06-06</v>
      </c>
      <c r="H323" t="str">
        <v>2023 Q2</v>
      </c>
      <c r="I323">
        <v>50</v>
      </c>
      <c r="K323">
        <v>15</v>
      </c>
    </row>
    <row r="324">
      <c r="A324" t="str">
        <v>Valentin Yanakiev</v>
      </c>
      <c r="B324" t="str">
        <v>alkemio</v>
      </c>
      <c r="C324" t="str">
        <v>Epic</v>
      </c>
      <c r="D324" t="str">
        <v>Domain model: Naming alignment</v>
      </c>
      <c r="E324" t="str">
        <v>Done</v>
      </c>
      <c r="F324" t="str">
        <v>2023-06-20</v>
      </c>
      <c r="H324" t="str">
        <v>2023 Q2</v>
      </c>
      <c r="I324">
        <v>50</v>
      </c>
      <c r="K324">
        <v>30</v>
      </c>
    </row>
    <row r="325">
      <c r="B325" t="str">
        <v>alkemio</v>
      </c>
      <c r="C325" t="str">
        <v>Epic</v>
      </c>
      <c r="D325" t="str">
        <v>Matrix adapter as a separate service</v>
      </c>
      <c r="E325" t="str">
        <v>Done</v>
      </c>
      <c r="H325" t="str">
        <v>2023 Q1</v>
      </c>
      <c r="I325">
        <v>50</v>
      </c>
      <c r="K325">
        <v>40</v>
      </c>
    </row>
    <row r="326">
      <c r="A326" t="str">
        <v>Neil Smyth</v>
      </c>
      <c r="B326" t="str">
        <v>alkemio</v>
      </c>
      <c r="C326" t="str">
        <v>Epic</v>
      </c>
      <c r="D326" t="str">
        <v>Private challenges</v>
      </c>
      <c r="E326" t="str">
        <v>Done</v>
      </c>
      <c r="H326" t="str">
        <v>2023 Q1</v>
      </c>
      <c r="I326">
        <v>50</v>
      </c>
      <c r="K326">
        <v>30</v>
      </c>
    </row>
    <row r="327">
      <c r="A327" t="str">
        <v>Valentin Yanakiev</v>
      </c>
      <c r="B327" t="str">
        <v>infrastructure-operations</v>
      </c>
      <c r="C327" t="str">
        <v>operations,Epic,Infrastructure</v>
      </c>
      <c r="D327" t="str">
        <v>Kratos 0.11 Update</v>
      </c>
      <c r="E327" t="str">
        <v>Done</v>
      </c>
      <c r="H327" t="str">
        <v>2023 Q1</v>
      </c>
      <c r="I327">
        <v>50</v>
      </c>
    </row>
    <row r="328">
      <c r="B328" t="str">
        <v>alkemio</v>
      </c>
      <c r="C328" t="str">
        <v>Epic</v>
      </c>
      <c r="D328" t="str">
        <v>Data Integrity - CLOSED</v>
      </c>
      <c r="E328" t="str">
        <v>Done</v>
      </c>
      <c r="H328" t="str">
        <v>2023 Q1</v>
      </c>
      <c r="I328">
        <v>50</v>
      </c>
    </row>
    <row r="329">
      <c r="B329" t="str">
        <v>alkemio</v>
      </c>
      <c r="C329" t="str">
        <v>Epic</v>
      </c>
      <c r="D329" t="str">
        <v>Forum: notifications, sharing</v>
      </c>
      <c r="E329" t="str">
        <v>Done</v>
      </c>
      <c r="F329" t="str">
        <v>2023-04-25</v>
      </c>
      <c r="H329" t="str">
        <v>2023 Q2</v>
      </c>
      <c r="I329">
        <v>20</v>
      </c>
    </row>
    <row r="330">
      <c r="B330" t="str">
        <v>alkemio</v>
      </c>
      <c r="C330" t="str">
        <v>Epic</v>
      </c>
      <c r="D330" t="str">
        <v>Accessibility: Visuals alternative text</v>
      </c>
      <c r="E330" t="str">
        <v>Done</v>
      </c>
      <c r="F330" t="str">
        <v>2023-04-11</v>
      </c>
      <c r="H330" t="str">
        <v>2023 Q2</v>
      </c>
      <c r="I330">
        <v>30</v>
      </c>
      <c r="J330" t="str">
        <v>Envision</v>
      </c>
    </row>
    <row r="331">
      <c r="A331" t="str">
        <v>René Honig,Valentin Yanakiev</v>
      </c>
      <c r="B331" t="str">
        <v>infrastructure-operations</v>
      </c>
      <c r="C331" t="str">
        <v>operations,Epic,Infrastructure</v>
      </c>
      <c r="D331" t="str">
        <v>Security: Authentication via Microsoft identities - basic</v>
      </c>
      <c r="E331" t="str">
        <v>Done</v>
      </c>
      <c r="F331" t="str">
        <v>2023-04-11</v>
      </c>
      <c r="H331" t="str">
        <v>2023 Q2</v>
      </c>
      <c r="I331">
        <v>20</v>
      </c>
      <c r="K331">
        <v>20</v>
      </c>
    </row>
    <row r="332">
      <c r="B332" t="str">
        <v>landingpage</v>
      </c>
      <c r="C332" t="str">
        <v>Epic</v>
      </c>
      <c r="D332" t="str">
        <v>Landing page: refinements + maintainability</v>
      </c>
      <c r="E332" t="str">
        <v>Done</v>
      </c>
      <c r="F332" t="str">
        <v>2023-03-28</v>
      </c>
      <c r="H332" t="str">
        <v>2023 Q1</v>
      </c>
      <c r="I332">
        <v>30</v>
      </c>
      <c r="K332">
        <v>10</v>
      </c>
    </row>
    <row r="333">
      <c r="B333" t="str">
        <v>alkemio</v>
      </c>
      <c r="C333" t="str">
        <v>Epic,Product Team</v>
      </c>
      <c r="D333" t="str">
        <v>UX Refinements - Round 4</v>
      </c>
      <c r="E333" t="str">
        <v>Done</v>
      </c>
      <c r="H333" t="str">
        <v>2023 Q2</v>
      </c>
      <c r="I333">
        <v>80</v>
      </c>
    </row>
    <row r="334">
      <c r="B334" t="str">
        <v>alkemio</v>
      </c>
      <c r="C334" t="str">
        <v>Initiative</v>
      </c>
      <c r="D334" t="str">
        <v>I: Analytics via connectivity graph v1</v>
      </c>
      <c r="E334" t="str">
        <v>Being defined</v>
      </c>
    </row>
    <row r="335">
      <c r="B335" t="str">
        <v>alkemio</v>
      </c>
      <c r="C335" t="str">
        <v>Initiative</v>
      </c>
      <c r="D335" t="str">
        <v>I: Maintainability</v>
      </c>
      <c r="E335" t="str">
        <v>Being defined</v>
      </c>
    </row>
    <row r="336">
      <c r="B336" t="str">
        <v>alkemio</v>
      </c>
      <c r="C336" t="str">
        <v>Initiative</v>
      </c>
      <c r="D336" t="str">
        <v>I: Journey structure refresh</v>
      </c>
      <c r="E336" t="str">
        <v>Being defined</v>
      </c>
      <c r="F336" t="str">
        <v>2023-03-14</v>
      </c>
    </row>
    <row r="337">
      <c r="B337" t="str">
        <v>alkemio</v>
      </c>
      <c r="C337" t="str">
        <v>Initiative</v>
      </c>
      <c r="D337" t="str">
        <v xml:space="preserve">Innovation library - Agreements </v>
      </c>
      <c r="E337" t="str">
        <v>Being defined</v>
      </c>
    </row>
    <row r="338">
      <c r="B338" t="str">
        <v>alkemio</v>
      </c>
      <c r="C338" t="str">
        <v>Initiative</v>
      </c>
      <c r="D338" t="str">
        <v>I: Onboarding the community</v>
      </c>
      <c r="E338" t="str">
        <v>Being defined</v>
      </c>
    </row>
    <row r="339">
      <c r="B339" t="str">
        <v>alkemio</v>
      </c>
      <c r="C339" t="str">
        <v>Initiative</v>
      </c>
      <c r="D339" t="str">
        <v>I: Innovation Hubs</v>
      </c>
      <c r="E339" t="str">
        <v>Being defined</v>
      </c>
    </row>
    <row r="340">
      <c r="B340" t="str">
        <v>alkemio</v>
      </c>
      <c r="C340" t="str">
        <v>Initiative</v>
      </c>
      <c r="D340" t="str">
        <v>I: Platform responsiveness</v>
      </c>
      <c r="E340" t="str">
        <v>Being defined</v>
      </c>
    </row>
    <row r="341">
      <c r="B341" t="str">
        <v>alkemio</v>
      </c>
      <c r="C341" t="str">
        <v>Initiative</v>
      </c>
      <c r="D341" t="str">
        <v>I: Guidance for users</v>
      </c>
      <c r="E341" t="str">
        <v>Being defined</v>
      </c>
    </row>
    <row r="342">
      <c r="B342" t="str">
        <v>alkemio</v>
      </c>
      <c r="C342" t="str">
        <v>Initiative</v>
      </c>
      <c r="D342" t="str">
        <v>I: Platform Management</v>
      </c>
      <c r="E342" t="str">
        <v>Being defined</v>
      </c>
    </row>
    <row r="343">
      <c r="B343" t="str">
        <v>alkemio</v>
      </c>
      <c r="C343" t="str">
        <v>Initiative</v>
      </c>
      <c r="D343" t="str">
        <v>I: Accessibility</v>
      </c>
      <c r="E343" t="str">
        <v>Being defined</v>
      </c>
    </row>
    <row r="344">
      <c r="B344" t="str">
        <v>alkemio</v>
      </c>
      <c r="C344" t="str">
        <v>Initiative</v>
      </c>
      <c r="D344" t="str">
        <v>I: Content + Knowledge Management</v>
      </c>
      <c r="E344" t="str">
        <v>Being defined</v>
      </c>
    </row>
    <row r="345">
      <c r="B345" t="str">
        <v>alkemio</v>
      </c>
      <c r="C345" t="str">
        <v>Initiative</v>
      </c>
      <c r="D345" t="str">
        <v>I: Notifications</v>
      </c>
      <c r="E345" t="str">
        <v>Being defined</v>
      </c>
    </row>
    <row r="346">
      <c r="B346" t="str">
        <v>alkemio</v>
      </c>
      <c r="C346" t="str">
        <v>Initiative</v>
      </c>
      <c r="D346" t="str">
        <v>I: Library population, usage + feedback</v>
      </c>
      <c r="E346" t="str">
        <v>Being defined</v>
      </c>
    </row>
    <row r="347">
      <c r="B347" t="str">
        <v>alkemio</v>
      </c>
      <c r="C347" t="str">
        <v>Initiative</v>
      </c>
      <c r="D347" t="str">
        <v>Content on the platform</v>
      </c>
      <c r="E347" t="str">
        <v>Being defined</v>
      </c>
    </row>
    <row r="348">
      <c r="B348" t="str">
        <v>alkemio</v>
      </c>
      <c r="C348" t="str">
        <v>Initiative</v>
      </c>
      <c r="D348" t="str">
        <v>I: Innovation Library</v>
      </c>
      <c r="E348" t="str">
        <v>Being defined</v>
      </c>
    </row>
    <row r="349">
      <c r="B349" t="str">
        <v>alkemio</v>
      </c>
      <c r="C349" t="str">
        <v>Initiative</v>
      </c>
      <c r="D349" t="str">
        <v>I: Enriched User Profiles</v>
      </c>
      <c r="E349" t="str">
        <v>Being defined</v>
      </c>
    </row>
    <row r="350">
      <c r="B350" t="str">
        <v>alkemio</v>
      </c>
      <c r="C350" t="str">
        <v>Initiative</v>
      </c>
      <c r="D350" t="str">
        <v>I: Smart search</v>
      </c>
      <c r="E350" t="str">
        <v>Being defined</v>
      </c>
    </row>
    <row r="351">
      <c r="B351" t="str">
        <v>alkemio</v>
      </c>
      <c r="C351" t="str">
        <v>Epic</v>
      </c>
      <c r="D351" t="str">
        <v xml:space="preserve">Welcome page v1 + foundation site </v>
      </c>
      <c r="E351" t="str">
        <v>Done</v>
      </c>
      <c r="F351" t="str">
        <v>2023-11-21</v>
      </c>
      <c r="G351" t="str">
        <v>Products + Licensing</v>
      </c>
      <c r="H351" t="str">
        <v>2023 Q4</v>
      </c>
      <c r="I351">
        <v>30</v>
      </c>
      <c r="K351">
        <v>20</v>
      </c>
    </row>
    <row r="352">
      <c r="B352" t="str">
        <v>alkemio</v>
      </c>
      <c r="C352" t="str">
        <v>Epic</v>
      </c>
      <c r="D352" t="str">
        <v>Infrastructure: Domain per environment</v>
      </c>
      <c r="E352" t="str">
        <v>Done</v>
      </c>
      <c r="F352" t="str">
        <v>2023-11-21</v>
      </c>
      <c r="H352" t="str">
        <v>2023 Q4</v>
      </c>
      <c r="I352">
        <v>30</v>
      </c>
    </row>
    <row r="353">
      <c r="B353" t="str">
        <v>test-suites</v>
      </c>
      <c r="C353" t="str">
        <v>Epic,QA</v>
      </c>
      <c r="D353" t="str">
        <v>QA: test suites using graphql - framework + initial migration</v>
      </c>
      <c r="E353" t="str">
        <v>Done</v>
      </c>
      <c r="F353" t="str">
        <v>2023-10-10</v>
      </c>
      <c r="H353" t="str">
        <v>2023 Q4</v>
      </c>
      <c r="I353">
        <v>50</v>
      </c>
    </row>
    <row r="354">
      <c r="B354" t="str">
        <v>alkemio</v>
      </c>
      <c r="C354" t="str">
        <v>Epic,Product Team,A: Context</v>
      </c>
      <c r="D354" t="str">
        <v>Innovation Flow usage in Challenges</v>
      </c>
      <c r="E354" t="str">
        <v>Done</v>
      </c>
      <c r="F354" t="str">
        <v>2023-07-18</v>
      </c>
      <c r="H354" t="str">
        <v>2023 Q3</v>
      </c>
      <c r="I354">
        <v>50</v>
      </c>
    </row>
    <row r="355">
      <c r="A355" t="str">
        <v>Valentin Yanakiev,Denise Larsson</v>
      </c>
      <c r="B355" t="str">
        <v>alkemio</v>
      </c>
      <c r="C355" t="str">
        <v>Epic</v>
      </c>
      <c r="D355" t="str">
        <v>Invite Users to Space</v>
      </c>
      <c r="E355" t="str">
        <v>Done</v>
      </c>
      <c r="F355" t="str">
        <v>2023-07-18</v>
      </c>
      <c r="G355" t="str">
        <v>Smoothly joining a community</v>
      </c>
      <c r="H355" t="str">
        <v>2023 Q2</v>
      </c>
      <c r="I355">
        <v>80</v>
      </c>
      <c r="K355">
        <v>30</v>
      </c>
    </row>
    <row r="356">
      <c r="B356" t="str">
        <v>alkemio</v>
      </c>
      <c r="C356" t="str">
        <v>Epic</v>
      </c>
      <c r="D356" t="str">
        <v>Generative AI: guidance demonstrator</v>
      </c>
      <c r="E356" t="str">
        <v>Done</v>
      </c>
      <c r="F356" t="str">
        <v>2023-08-01</v>
      </c>
      <c r="H356" t="str">
        <v>2023 Q3</v>
      </c>
      <c r="I356">
        <v>50</v>
      </c>
    </row>
    <row r="357">
      <c r="B357" t="str">
        <v>alkemio</v>
      </c>
      <c r="C357" t="str">
        <v>Epic,Product Team,Product Discussion</v>
      </c>
      <c r="D357" t="str">
        <v>Email Templates: Refresh</v>
      </c>
      <c r="E357" t="str">
        <v>Done</v>
      </c>
      <c r="F357" t="str">
        <v>2023-08-01</v>
      </c>
      <c r="H357" t="str">
        <v>2023 Q3</v>
      </c>
      <c r="I357">
        <v>30</v>
      </c>
    </row>
    <row r="358">
      <c r="B358" t="str">
        <v>alkemio</v>
      </c>
      <c r="C358" t="str">
        <v>Epic</v>
      </c>
      <c r="D358" t="str">
        <v>Client: Simplified logic via streamlined server api</v>
      </c>
      <c r="E358" t="str">
        <v>Done</v>
      </c>
      <c r="F358" t="str">
        <v>2023-08-15</v>
      </c>
      <c r="H358" t="str">
        <v>2023 Q3</v>
      </c>
      <c r="I358">
        <v>80</v>
      </c>
    </row>
    <row r="359">
      <c r="A359" t="str">
        <v>Svetoslav Petkov,user</v>
      </c>
      <c r="B359" t="str">
        <v>alkemio</v>
      </c>
      <c r="C359" t="str">
        <v>Epic</v>
      </c>
      <c r="D359" t="str">
        <v>Reporting: Additional reports, data extensions, operations</v>
      </c>
      <c r="E359" t="str">
        <v>Done</v>
      </c>
      <c r="F359" t="str">
        <v>2023-08-15</v>
      </c>
      <c r="H359" t="str">
        <v>2023 Q3</v>
      </c>
      <c r="I359">
        <v>80</v>
      </c>
      <c r="K359">
        <v>10</v>
      </c>
    </row>
    <row r="360">
      <c r="B360" t="str">
        <v>alkemio</v>
      </c>
      <c r="C360" t="str">
        <v>Epic</v>
      </c>
      <c r="D360" t="str">
        <v>Reporting: access, other features requiring license</v>
      </c>
      <c r="E360" t="str">
        <v>New</v>
      </c>
    </row>
    <row r="361">
      <c r="B361" t="str">
        <v>alkemio</v>
      </c>
      <c r="C361" t="str">
        <v>Epic</v>
      </c>
      <c r="D361" t="str">
        <v>Documents: Secure storage with management</v>
      </c>
      <c r="E361" t="str">
        <v>Done</v>
      </c>
      <c r="F361" t="str">
        <v>2023-08-15</v>
      </c>
      <c r="H361" t="str">
        <v>2023 Q2</v>
      </c>
      <c r="I361">
        <v>80</v>
      </c>
      <c r="J361" t="str">
        <v>TNO</v>
      </c>
      <c r="K361">
        <v>20</v>
      </c>
    </row>
    <row r="362">
      <c r="B362" t="str">
        <v>alkemio</v>
      </c>
      <c r="C362" t="str">
        <v>Epic</v>
      </c>
      <c r="D362" t="str">
        <v xml:space="preserve">QA: Improved Test Infrastructure </v>
      </c>
      <c r="E362" t="str">
        <v>Done</v>
      </c>
      <c r="F362" t="str">
        <v>2023-03-14</v>
      </c>
      <c r="H362" t="str">
        <v>2023 Q3</v>
      </c>
      <c r="I362">
        <v>50</v>
      </c>
      <c r="K362">
        <v>20</v>
      </c>
    </row>
    <row r="363">
      <c r="B363" t="str">
        <v>alkemio</v>
      </c>
      <c r="C363" t="str">
        <v>Epic,client</v>
      </c>
      <c r="D363" t="str">
        <v>Update of Journey settings tab: v1</v>
      </c>
      <c r="E363" t="str">
        <v>Done</v>
      </c>
      <c r="F363" t="str">
        <v>2023-08-15</v>
      </c>
      <c r="G363" t="str">
        <v>Journey structure refresh</v>
      </c>
      <c r="H363" t="str">
        <v>2023 Q3</v>
      </c>
      <c r="I363">
        <v>50</v>
      </c>
      <c r="J363" t="str">
        <v>GovTechNL, DSIH</v>
      </c>
      <c r="K363">
        <v>20</v>
      </c>
    </row>
    <row r="364">
      <c r="B364" t="str">
        <v>alkemio</v>
      </c>
      <c r="C364" t="str">
        <v>Epic</v>
      </c>
      <c r="D364" t="str">
        <v>Comments: Threads + replies</v>
      </c>
      <c r="E364" t="str">
        <v>Done</v>
      </c>
      <c r="F364" t="str">
        <v>2023-06-20</v>
      </c>
      <c r="H364" t="str">
        <v>2023 Q2</v>
      </c>
      <c r="I364">
        <v>80</v>
      </c>
      <c r="K364">
        <v>20</v>
      </c>
    </row>
    <row r="365">
      <c r="B365" t="str">
        <v>alkemio</v>
      </c>
      <c r="C365" t="str">
        <v>Epic</v>
      </c>
      <c r="D365" t="str">
        <v>Switch to Vite from Webpack</v>
      </c>
      <c r="E365" t="str">
        <v>Done</v>
      </c>
      <c r="F365" t="str">
        <v>2023-08-15</v>
      </c>
      <c r="H365" t="str">
        <v>2023 Q3</v>
      </c>
      <c r="I365">
        <v>50</v>
      </c>
    </row>
    <row r="366">
      <c r="B366" t="str">
        <v>test-suites</v>
      </c>
      <c r="C366" t="str">
        <v>Epic,QA</v>
      </c>
      <c r="D366" t="str">
        <v xml:space="preserve">Restructure functional API tests folders </v>
      </c>
      <c r="E366" t="str">
        <v>Done</v>
      </c>
      <c r="F366" t="str">
        <v>2023-09-26</v>
      </c>
      <c r="H366" t="str">
        <v>2023 Q4</v>
      </c>
      <c r="I366">
        <v>10</v>
      </c>
    </row>
    <row r="367">
      <c r="B367" t="str">
        <v>alkemio</v>
      </c>
      <c r="C367" t="str">
        <v>Epic</v>
      </c>
      <c r="D367" t="str">
        <v>UX Refinements - Round 5a</v>
      </c>
      <c r="E367" t="str">
        <v>Done</v>
      </c>
      <c r="F367" t="str">
        <v>2023-09-26</v>
      </c>
      <c r="H367" t="str">
        <v>2023 Q3</v>
      </c>
      <c r="I367">
        <v>30</v>
      </c>
    </row>
    <row r="368">
      <c r="B368" t="str">
        <v>alkemio</v>
      </c>
      <c r="C368" t="str">
        <v>Epic</v>
      </c>
      <c r="D368" t="str">
        <v>Test harnesses for Documents</v>
      </c>
      <c r="E368" t="str">
        <v>Done</v>
      </c>
      <c r="H368" t="str">
        <v>2023 Q4</v>
      </c>
      <c r="I368">
        <v>30</v>
      </c>
    </row>
    <row r="369">
      <c r="A369" t="str">
        <v>Svetoslav Petkov</v>
      </c>
      <c r="B369" t="str">
        <v>alkemio</v>
      </c>
      <c r="C369" t="str">
        <v>Epic</v>
      </c>
      <c r="D369" t="str">
        <v>Operations: Platform audit trail</v>
      </c>
      <c r="E369" t="str">
        <v>Done</v>
      </c>
      <c r="H369" t="str">
        <v>2024 Q2</v>
      </c>
      <c r="I369">
        <v>20</v>
      </c>
    </row>
    <row r="370">
      <c r="B370" t="str">
        <v>alkemio</v>
      </c>
      <c r="C370" t="str">
        <v>Epic</v>
      </c>
      <c r="D370" t="str">
        <v>Guidance Engine: GA improvements</v>
      </c>
      <c r="E370" t="str">
        <v>Done</v>
      </c>
      <c r="F370" t="str">
        <v>2024-01-02</v>
      </c>
      <c r="H370" t="str">
        <v>2024 Q1</v>
      </c>
      <c r="I370">
        <v>30</v>
      </c>
    </row>
    <row r="371">
      <c r="B371" t="str">
        <v>alkemio</v>
      </c>
      <c r="C371" t="str">
        <v>Epic</v>
      </c>
      <c r="D371" t="str">
        <v>Welcome page v2</v>
      </c>
      <c r="E371" t="str">
        <v>Done</v>
      </c>
      <c r="F371" t="str">
        <v>2024-01-02</v>
      </c>
      <c r="G371" t="str">
        <v>Products + Licensing</v>
      </c>
      <c r="H371" t="str">
        <v>2024 Q1</v>
      </c>
      <c r="I371">
        <v>20</v>
      </c>
    </row>
    <row r="372">
      <c r="A372" t="str">
        <v>Svetoslav Petkov</v>
      </c>
      <c r="B372" t="str">
        <v>alkemio</v>
      </c>
      <c r="C372" t="str">
        <v>Epic</v>
      </c>
      <c r="D372" t="str">
        <v>Storage: Replace IPFS with local storage</v>
      </c>
      <c r="E372" t="str">
        <v>Done</v>
      </c>
      <c r="F372" t="str">
        <v>2024-01-16</v>
      </c>
      <c r="H372" t="str">
        <v>2024 Q1</v>
      </c>
      <c r="I372">
        <v>30</v>
      </c>
    </row>
    <row r="373">
      <c r="A373" t="str">
        <v>Valentin Yanakiev</v>
      </c>
      <c r="B373" t="str">
        <v>infrastructure-operations</v>
      </c>
      <c r="C373" t="str">
        <v>Epic</v>
      </c>
      <c r="D373" t="str">
        <v>Infrastructure: Domain clean up, backups + storage</v>
      </c>
      <c r="E373" t="str">
        <v>Done</v>
      </c>
      <c r="F373" t="str">
        <v>2024-01-16</v>
      </c>
      <c r="H373" t="str">
        <v>2024 Q1</v>
      </c>
      <c r="I373">
        <v>20</v>
      </c>
    </row>
    <row r="374">
      <c r="B374" t="str">
        <v>alkemio</v>
      </c>
      <c r="C374" t="str">
        <v>Initiative</v>
      </c>
      <c r="D374" t="str">
        <v xml:space="preserve">I: RT Whiteboard </v>
      </c>
      <c r="E374" t="str">
        <v>Being defined</v>
      </c>
    </row>
    <row r="375">
      <c r="B375" t="str">
        <v>alkemio</v>
      </c>
      <c r="C375" t="str">
        <v>Epic,Product Discussion</v>
      </c>
      <c r="D375" t="str">
        <v>Specify the email sender for community notification emails</v>
      </c>
      <c r="E375" t="str">
        <v>New</v>
      </c>
      <c r="G375" t="str">
        <v>Smoothly joining a community</v>
      </c>
    </row>
    <row r="376">
      <c r="B376" t="str">
        <v>alkemio</v>
      </c>
      <c r="C376" t="str">
        <v>Epic,Product Team</v>
      </c>
      <c r="D376" t="str">
        <v>Membership models</v>
      </c>
      <c r="E376" t="str">
        <v>New</v>
      </c>
    </row>
    <row r="377">
      <c r="B377" t="str">
        <v>alkemio</v>
      </c>
      <c r="C377" t="str">
        <v>Epic,Release this sprint</v>
      </c>
      <c r="D377" t="str">
        <v>Release notes management on platform</v>
      </c>
      <c r="E377" t="str">
        <v>Done</v>
      </c>
      <c r="F377" t="str">
        <v>2024-03-12</v>
      </c>
      <c r="H377" t="str">
        <v>2024 Q1</v>
      </c>
      <c r="I377">
        <v>20</v>
      </c>
      <c r="K377">
        <v>5</v>
      </c>
    </row>
    <row r="378">
      <c r="B378" t="str">
        <v>alkemio</v>
      </c>
      <c r="C378" t="str">
        <v>Epic,Product Team</v>
      </c>
      <c r="D378" t="str">
        <v>Hide / turn functionalities off</v>
      </c>
      <c r="E378" t="str">
        <v>Icebox</v>
      </c>
      <c r="H378" t="str">
        <v>2024 Q3</v>
      </c>
    </row>
    <row r="379">
      <c r="B379" t="str">
        <v>alkemio</v>
      </c>
      <c r="C379" t="str">
        <v>Epic</v>
      </c>
      <c r="D379" t="str">
        <v>Release mgmt: optimization</v>
      </c>
      <c r="E379" t="str">
        <v>New</v>
      </c>
    </row>
    <row r="380">
      <c r="B380" t="str">
        <v>alkemio</v>
      </c>
      <c r="C380" t="str">
        <v>Epic,client</v>
      </c>
      <c r="D380" t="str">
        <v>Compliance: Tracking + cookie handling on client</v>
      </c>
      <c r="E380" t="str">
        <v>New</v>
      </c>
    </row>
    <row r="381">
      <c r="B381" t="str">
        <v>alkemio</v>
      </c>
      <c r="C381" t="str">
        <v>Epic,Infrastructure,server</v>
      </c>
      <c r="D381" t="str">
        <v>Single type of Database</v>
      </c>
      <c r="E381" t="str">
        <v>Done</v>
      </c>
    </row>
    <row r="382">
      <c r="B382" t="str">
        <v>alkemio</v>
      </c>
      <c r="C382" t="str">
        <v>Epic</v>
      </c>
      <c r="D382" t="str">
        <v>Data integrity v3</v>
      </c>
      <c r="E382" t="str">
        <v>New</v>
      </c>
    </row>
    <row r="383">
      <c r="B383" t="str">
        <v>alkemio</v>
      </c>
      <c r="C383" t="str">
        <v>Epic,client</v>
      </c>
      <c r="D383" t="str">
        <v>Search: smart tags</v>
      </c>
      <c r="E383" t="str">
        <v>New</v>
      </c>
      <c r="G383" t="str">
        <v>Search: Smart</v>
      </c>
    </row>
    <row r="384">
      <c r="B384" t="str">
        <v>alkemio</v>
      </c>
      <c r="C384" t="str">
        <v>Epic</v>
      </c>
      <c r="D384" t="str">
        <v>Subscriptions: Challenges</v>
      </c>
      <c r="E384" t="str">
        <v>Done</v>
      </c>
    </row>
    <row r="385">
      <c r="B385" t="str">
        <v>alkemio</v>
      </c>
      <c r="C385" t="str">
        <v>Epic</v>
      </c>
      <c r="D385" t="str">
        <v>Subscriptions: community</v>
      </c>
      <c r="E385" t="str">
        <v>Done</v>
      </c>
    </row>
    <row r="386">
      <c r="B386" t="str">
        <v>alkemio</v>
      </c>
      <c r="C386" t="str">
        <v>Epic</v>
      </c>
      <c r="D386" t="str">
        <v>Subscriptions: best practices library</v>
      </c>
      <c r="E386" t="str">
        <v>Done</v>
      </c>
    </row>
    <row r="387">
      <c r="B387" t="str">
        <v>alkemio</v>
      </c>
      <c r="C387" t="str">
        <v>Epic</v>
      </c>
      <c r="D387" t="str">
        <v>Subscriptions: Leads</v>
      </c>
      <c r="E387" t="str">
        <v>Done</v>
      </c>
    </row>
    <row r="388">
      <c r="B388" t="str">
        <v>alkemio</v>
      </c>
      <c r="C388" t="str">
        <v>Epic</v>
      </c>
      <c r="D388" t="str">
        <v>Subscriptions: Access</v>
      </c>
      <c r="E388" t="str">
        <v>Done</v>
      </c>
      <c r="G388" t="str">
        <v>Products + Licensing</v>
      </c>
    </row>
    <row r="389">
      <c r="B389" t="str">
        <v>alkemio</v>
      </c>
      <c r="C389" t="str">
        <v>Epic</v>
      </c>
      <c r="D389" t="str">
        <v>Subscriptions: subscriptions settings page</v>
      </c>
      <c r="E389" t="str">
        <v>Done</v>
      </c>
      <c r="G389" t="str">
        <v>Products + Licensing</v>
      </c>
    </row>
    <row r="390">
      <c r="B390" t="str">
        <v>alkemio</v>
      </c>
      <c r="C390" t="str">
        <v>Epic</v>
      </c>
      <c r="D390" t="str">
        <v>Subscriptions: Payments infrastructure</v>
      </c>
      <c r="E390" t="str">
        <v>New</v>
      </c>
      <c r="G390" t="str">
        <v>Products + Licensing</v>
      </c>
    </row>
    <row r="391">
      <c r="B391" t="str">
        <v>alkemio</v>
      </c>
      <c r="C391" t="str">
        <v>Epic,Release this sprint</v>
      </c>
      <c r="D391" t="str">
        <v>Innovation Flow: Management</v>
      </c>
      <c r="E391" t="str">
        <v>Done</v>
      </c>
      <c r="F391" t="str">
        <v>2024-03-12</v>
      </c>
      <c r="H391" t="str">
        <v>2024 Q1</v>
      </c>
      <c r="I391">
        <v>30</v>
      </c>
      <c r="K391">
        <v>28</v>
      </c>
    </row>
    <row r="392">
      <c r="B392" t="str">
        <v>alkemio</v>
      </c>
      <c r="C392" t="str">
        <v>Epic,Product Team,Product Discussion</v>
      </c>
      <c r="D392" t="str">
        <v>Space Defaults to reflect what most communities currently need</v>
      </c>
      <c r="E392" t="str">
        <v>Done</v>
      </c>
    </row>
    <row r="393">
      <c r="B393" t="str">
        <v>alkemio</v>
      </c>
      <c r="C393" t="str">
        <v>Epic,Release this sprint</v>
      </c>
      <c r="D393" t="str">
        <v>Spaces with Subspaces: user interaction v1</v>
      </c>
      <c r="E393" t="str">
        <v>Done</v>
      </c>
      <c r="F393" t="str">
        <v>2024-03-26</v>
      </c>
      <c r="G393" t="str">
        <v>Spaces with Subspaces</v>
      </c>
      <c r="H393" t="str">
        <v>2024 Q1</v>
      </c>
      <c r="I393">
        <v>20</v>
      </c>
    </row>
    <row r="394">
      <c r="B394" t="str">
        <v>alkemio</v>
      </c>
      <c r="C394" t="str">
        <v>Epic</v>
      </c>
      <c r="D394" t="str">
        <v>Accessibility: Skiplinks</v>
      </c>
      <c r="E394" t="str">
        <v>Done</v>
      </c>
      <c r="H394" t="str">
        <v>2023 Q4</v>
      </c>
    </row>
    <row r="395">
      <c r="B395" t="str">
        <v>alkemio</v>
      </c>
      <c r="C395" t="str">
        <v>Epic</v>
      </c>
      <c r="D395" t="str">
        <v>Accessibility: labeling buttons</v>
      </c>
      <c r="E395" t="str">
        <v>Done</v>
      </c>
      <c r="H395" t="str">
        <v>2023 Q4</v>
      </c>
    </row>
    <row r="396">
      <c r="B396" t="str">
        <v>alkemio</v>
      </c>
      <c r="C396" t="str">
        <v>Epic</v>
      </c>
      <c r="D396" t="str">
        <v>UX: Guidelines, org / user profile, community page, accessibility</v>
      </c>
      <c r="E396" t="str">
        <v>Done</v>
      </c>
      <c r="G396" t="str">
        <v>Community On-boarding</v>
      </c>
      <c r="H396" t="str">
        <v>2023 Q4</v>
      </c>
    </row>
    <row r="397">
      <c r="B397" t="str">
        <v>alkemio</v>
      </c>
      <c r="C397" t="str">
        <v>Epic</v>
      </c>
      <c r="D397" t="str">
        <v>Bucket: Engaging User Profiles / Profiles per community</v>
      </c>
      <c r="E397" t="str">
        <v>New</v>
      </c>
    </row>
    <row r="398">
      <c r="B398" t="str">
        <v>alkemio</v>
      </c>
      <c r="C398" t="str">
        <v>Epic</v>
      </c>
      <c r="D398" t="str">
        <v>Whiteboards to generate content</v>
      </c>
      <c r="E398" t="str">
        <v>New</v>
      </c>
      <c r="G398" t="str">
        <v>Whiteboard to generate content</v>
      </c>
    </row>
    <row r="399">
      <c r="B399" t="str">
        <v>alkemio</v>
      </c>
      <c r="C399" t="str">
        <v>Epic</v>
      </c>
      <c r="D399" t="str">
        <v>Linking contributions</v>
      </c>
      <c r="E399" t="str">
        <v>New</v>
      </c>
      <c r="G399" t="str">
        <v>Connectivity Graph</v>
      </c>
    </row>
    <row r="400">
      <c r="B400" t="str">
        <v>alkemio</v>
      </c>
      <c r="C400" t="str">
        <v>Epic,QA</v>
      </c>
      <c r="D400" t="str">
        <v>QA: Test suites expanded</v>
      </c>
      <c r="E400" t="str">
        <v>Icebox</v>
      </c>
    </row>
    <row r="401">
      <c r="B401" t="str">
        <v>alkemio</v>
      </c>
      <c r="C401" t="str">
        <v>Epic</v>
      </c>
      <c r="D401" t="str">
        <v>Test Suites Tech Debt</v>
      </c>
      <c r="E401" t="str">
        <v>New</v>
      </c>
    </row>
    <row r="402">
      <c r="B402" t="str">
        <v>alkemio</v>
      </c>
      <c r="C402" t="str">
        <v>Epic</v>
      </c>
      <c r="D402" t="str">
        <v>Domain model: refinements</v>
      </c>
      <c r="E402" t="str">
        <v>New</v>
      </c>
    </row>
    <row r="403">
      <c r="B403" t="str">
        <v>alkemio</v>
      </c>
      <c r="C403" t="str">
        <v>Epic,server,Product Discussion</v>
      </c>
      <c r="D403" t="str">
        <v xml:space="preserve">Subscriptions: Design review + next level usage </v>
      </c>
      <c r="E403" t="str">
        <v>Done</v>
      </c>
    </row>
    <row r="404">
      <c r="B404" t="str">
        <v>alkemio</v>
      </c>
      <c r="C404" t="str">
        <v>Epic</v>
      </c>
      <c r="D404" t="str">
        <v>Static Code analysis: replacement for BCH</v>
      </c>
      <c r="E404" t="str">
        <v>New</v>
      </c>
    </row>
    <row r="405">
      <c r="B405" t="str">
        <v>alkemio</v>
      </c>
      <c r="C405" t="str">
        <v>Epic,QA</v>
      </c>
      <c r="D405" t="str">
        <v>QA: Test suite user authentication flows</v>
      </c>
      <c r="E405" t="str">
        <v>Defined</v>
      </c>
      <c r="H405" t="str">
        <v>2024 Q2</v>
      </c>
      <c r="I405">
        <v>30</v>
      </c>
    </row>
    <row r="406">
      <c r="B406" t="str">
        <v>alkemio</v>
      </c>
      <c r="C406" t="str">
        <v>Epic,server</v>
      </c>
      <c r="D406" t="str">
        <v>Server: Code clean up / optimization</v>
      </c>
      <c r="E406" t="str">
        <v>New</v>
      </c>
    </row>
    <row r="407">
      <c r="A407" t="str">
        <v>Neil Smyth</v>
      </c>
      <c r="B407" t="str">
        <v>alkemio</v>
      </c>
      <c r="C407" t="str">
        <v>Epic</v>
      </c>
      <c r="D407" t="str">
        <v>Domain: ActorGroups ==&gt; Actors with Tags</v>
      </c>
      <c r="E407" t="str">
        <v>New</v>
      </c>
    </row>
    <row r="408">
      <c r="B408" t="str">
        <v>alkemio</v>
      </c>
      <c r="C408" t="str">
        <v>Epic</v>
      </c>
      <c r="D408" t="str">
        <v>Dev Tooling: Migrate to Yarn</v>
      </c>
      <c r="E408" t="str">
        <v>New</v>
      </c>
    </row>
    <row r="409">
      <c r="B409" t="str">
        <v>alkemio</v>
      </c>
      <c r="C409" t="str">
        <v>Epic</v>
      </c>
      <c r="D409" t="str">
        <v>api: roadmap + design</v>
      </c>
      <c r="E409" t="str">
        <v>New</v>
      </c>
    </row>
    <row r="410">
      <c r="B410" t="str">
        <v>alkemio</v>
      </c>
      <c r="C410" t="str">
        <v>Epic</v>
      </c>
      <c r="D410" t="str">
        <v>api: enhanced documentation</v>
      </c>
      <c r="E410" t="str">
        <v>New</v>
      </c>
    </row>
    <row r="411">
      <c r="A411" t="str">
        <v>Neil Smyth</v>
      </c>
      <c r="B411" t="str">
        <v>infrastructure-operations</v>
      </c>
      <c r="C411" t="str">
        <v>operations,Epic,Infrastructure</v>
      </c>
      <c r="D411" t="str">
        <v>Reporting: configuration management + deployment</v>
      </c>
      <c r="E411" t="str">
        <v>New</v>
      </c>
    </row>
    <row r="412">
      <c r="B412" t="str">
        <v>alkemio</v>
      </c>
      <c r="C412" t="str">
        <v>Epic,Product Team</v>
      </c>
      <c r="D412" t="str">
        <v>Excalidraw feedback</v>
      </c>
      <c r="E412" t="str">
        <v>Done</v>
      </c>
    </row>
    <row r="413">
      <c r="B413" t="str">
        <v>alkemio</v>
      </c>
      <c r="C413" t="str">
        <v>Epic,Product Team</v>
      </c>
      <c r="D413" t="str">
        <v>Lessons learned other platforms</v>
      </c>
      <c r="E413" t="str">
        <v>Done</v>
      </c>
    </row>
    <row r="414">
      <c r="B414" t="str">
        <v>alkemio</v>
      </c>
      <c r="C414" t="str">
        <v>Epic</v>
      </c>
      <c r="D414" t="str">
        <v>Emails associated with a user</v>
      </c>
      <c r="E414" t="str">
        <v>New</v>
      </c>
    </row>
    <row r="415">
      <c r="B415" t="str">
        <v>alkemio</v>
      </c>
      <c r="C415" t="str">
        <v>Epic</v>
      </c>
      <c r="D415" t="str">
        <v>LinkedIn: connected accounts + usage for populating Alkemio profiles + messages</v>
      </c>
      <c r="E415" t="str">
        <v>New</v>
      </c>
    </row>
    <row r="416">
      <c r="B416" t="str">
        <v>alkemio</v>
      </c>
      <c r="C416" t="str">
        <v>Epic,Product Discussion</v>
      </c>
      <c r="D416" t="str">
        <v>Organizations: Signed up versus profiles</v>
      </c>
      <c r="E416" t="str">
        <v>New</v>
      </c>
    </row>
    <row r="417">
      <c r="B417" t="str">
        <v>alkemio</v>
      </c>
      <c r="C417" t="str">
        <v>Epic,Release this sprint</v>
      </c>
      <c r="D417" t="str">
        <v>Offsite preparation</v>
      </c>
      <c r="E417" t="str">
        <v>Done</v>
      </c>
      <c r="F417" t="str">
        <v>2024-03-26</v>
      </c>
      <c r="H417" t="str">
        <v>2024 Q1</v>
      </c>
      <c r="I417">
        <v>30</v>
      </c>
    </row>
    <row r="418">
      <c r="A418" t="str">
        <v>Neil Smyth</v>
      </c>
      <c r="B418" t="str">
        <v>alkemio</v>
      </c>
      <c r="C418" t="str">
        <v>Epic,Release this sprint</v>
      </c>
      <c r="D418" t="str">
        <v xml:space="preserve">Community Terms: phase 1 </v>
      </c>
      <c r="E418" t="str">
        <v>Done</v>
      </c>
      <c r="F418" t="str">
        <v>2024-03-26</v>
      </c>
      <c r="G418" t="str">
        <v>Community Rules / Member Guidelines</v>
      </c>
      <c r="H418" t="str">
        <v>2024 Q2</v>
      </c>
      <c r="I418">
        <v>50</v>
      </c>
      <c r="J418" t="str">
        <v>Digicampus, Den Haag</v>
      </c>
      <c r="K418">
        <v>17</v>
      </c>
    </row>
    <row r="419">
      <c r="B419" t="str">
        <v>alkemio</v>
      </c>
      <c r="C419" t="str">
        <v>Epic</v>
      </c>
      <c r="D419" t="str">
        <v>Bucket: Enhancing UX: Visual improvements</v>
      </c>
      <c r="E419" t="str">
        <v>Being defined</v>
      </c>
    </row>
    <row r="420">
      <c r="B420" t="str">
        <v>alkemio</v>
      </c>
      <c r="C420" t="str">
        <v>Epic</v>
      </c>
      <c r="D420" t="str">
        <v>Subspaces single page layout</v>
      </c>
      <c r="E420" t="str">
        <v>Done</v>
      </c>
      <c r="F420" t="str">
        <v>2024-04-23</v>
      </c>
      <c r="G420" t="str">
        <v>Spaces with Subspaces</v>
      </c>
      <c r="H420" t="str">
        <v>2024 Q2</v>
      </c>
    </row>
    <row r="421">
      <c r="B421" t="str">
        <v>alkemio</v>
      </c>
      <c r="C421" t="str">
        <v>Epic</v>
      </c>
      <c r="D421" t="str">
        <v>UX improvements: Sprint 87 (Visual improvements)</v>
      </c>
      <c r="E421" t="str">
        <v>Done</v>
      </c>
      <c r="F421" t="str">
        <v>2024-04-09</v>
      </c>
      <c r="H421" t="str">
        <v>2024 Q2</v>
      </c>
      <c r="K421">
        <v>25</v>
      </c>
    </row>
    <row r="422">
      <c r="B422" t="str">
        <v>alkemio</v>
      </c>
      <c r="C422" t="str">
        <v>Epic</v>
      </c>
      <c r="D422" t="str">
        <v>Subspaces UI prep</v>
      </c>
      <c r="E422" t="str">
        <v>Done</v>
      </c>
      <c r="F422" t="str">
        <v>2024-04-09</v>
      </c>
      <c r="G422" t="str">
        <v>Spaces with Subspaces</v>
      </c>
      <c r="H422" t="str">
        <v>2024 Q2</v>
      </c>
    </row>
    <row r="423">
      <c r="B423" t="str">
        <v>alkemio</v>
      </c>
      <c r="C423" t="str">
        <v>Epic</v>
      </c>
      <c r="D423" t="str">
        <v>Platform visibility Collaboration professionals</v>
      </c>
      <c r="E423" t="str">
        <v>New</v>
      </c>
    </row>
    <row r="424">
      <c r="B424" t="str">
        <v>alkemio</v>
      </c>
      <c r="C424" t="str">
        <v>Epic</v>
      </c>
      <c r="D424" t="str">
        <v>Simple versions of Alkemio</v>
      </c>
      <c r="E424" t="str">
        <v>New</v>
      </c>
    </row>
    <row r="425">
      <c r="B425" t="str">
        <v>infrastructure-operations</v>
      </c>
      <c r="C425" t="str">
        <v>operations,Epic,Infrastructure</v>
      </c>
      <c r="D425" t="str">
        <v>Acc environment on demand</v>
      </c>
      <c r="E425" t="str">
        <v>New</v>
      </c>
    </row>
    <row r="426">
      <c r="B426" t="str">
        <v>test-suites</v>
      </c>
      <c r="C426" t="str">
        <v>Epic,QA</v>
      </c>
      <c r="D426" t="str">
        <v>Vulnerability scanning</v>
      </c>
      <c r="E426" t="str">
        <v>Icebox</v>
      </c>
    </row>
    <row r="427">
      <c r="B427" t="str">
        <v>alkemio</v>
      </c>
      <c r="C427" t="str">
        <v>Epic</v>
      </c>
      <c r="D427" t="str">
        <v>Governance: Security Audit + fixes</v>
      </c>
      <c r="E427" t="str">
        <v>Icebox</v>
      </c>
    </row>
    <row r="428">
      <c r="B428" t="str">
        <v>alkemio</v>
      </c>
      <c r="C428" t="str">
        <v>Epic,Roadmap Candidate</v>
      </c>
      <c r="D428" t="str">
        <v>Database: Robust deletions</v>
      </c>
      <c r="E428" t="str">
        <v>Icebox</v>
      </c>
    </row>
    <row r="429">
      <c r="B429" t="str">
        <v>server</v>
      </c>
      <c r="C429" t="str">
        <v>Epic,user story,server</v>
      </c>
      <c r="D429" t="str">
        <v>ORM Mapping Layer optimisation</v>
      </c>
      <c r="E429" t="str">
        <v>New</v>
      </c>
    </row>
    <row r="430">
      <c r="B430" t="str">
        <v>test-suites</v>
      </c>
      <c r="C430" t="str">
        <v>Epic,QA</v>
      </c>
      <c r="D430" t="str">
        <v>QA: Test Suites maintainability</v>
      </c>
      <c r="E430" t="str">
        <v>New</v>
      </c>
    </row>
    <row r="431">
      <c r="B431" t="str">
        <v>test-suites</v>
      </c>
      <c r="C431" t="str">
        <v>Epic,QA</v>
      </c>
      <c r="D431" t="str">
        <v>Subscriptions: Test framework + initial limited test suite</v>
      </c>
      <c r="E431" t="str">
        <v>New</v>
      </c>
    </row>
    <row r="432">
      <c r="A432" t="str">
        <v>Evgeni Dimitrov</v>
      </c>
      <c r="B432" t="str">
        <v>test-suites</v>
      </c>
      <c r="C432" t="str">
        <v>Epic,QA</v>
      </c>
      <c r="D432" t="str">
        <v>QA: Expand set of server API E2E tests</v>
      </c>
      <c r="E432" t="str">
        <v>New</v>
      </c>
    </row>
    <row r="433">
      <c r="B433" t="str">
        <v>server</v>
      </c>
      <c r="C433" t="str">
        <v>Epic,user story,server</v>
      </c>
      <c r="D433" t="str">
        <v>Caching at the cluster level</v>
      </c>
      <c r="E433" t="str">
        <v>New</v>
      </c>
    </row>
    <row r="434">
      <c r="A434" t="str">
        <v>Evgeni Dimitrov</v>
      </c>
      <c r="B434" t="str">
        <v>test-suites</v>
      </c>
      <c r="C434" t="str">
        <v>Epic,QA</v>
      </c>
      <c r="D434" t="str">
        <v>Search UI Tests</v>
      </c>
      <c r="E434" t="str">
        <v>New</v>
      </c>
    </row>
    <row r="435">
      <c r="B435" t="str">
        <v>test-suites</v>
      </c>
      <c r="C435" t="str">
        <v>Epic,QA</v>
      </c>
      <c r="D435" t="str">
        <v>System test plan tracking</v>
      </c>
      <c r="E435" t="str">
        <v>New</v>
      </c>
    </row>
    <row r="436">
      <c r="B436" t="str">
        <v>notifications</v>
      </c>
      <c r="C436" t="str">
        <v>Epic</v>
      </c>
      <c r="D436" t="str">
        <v>Notifications: configuration management flexibility</v>
      </c>
      <c r="E436" t="str">
        <v>New</v>
      </c>
    </row>
    <row r="437">
      <c r="B437" t="str">
        <v>alkemio</v>
      </c>
      <c r="C437" t="str">
        <v>Epic</v>
      </c>
      <c r="D437" t="str">
        <v>Chat Guidance: Multiple sessions</v>
      </c>
      <c r="E437" t="str">
        <v>New</v>
      </c>
    </row>
    <row r="438">
      <c r="A438" t="str">
        <v>Bobby Kolev</v>
      </c>
      <c r="B438" t="str">
        <v>alkemio</v>
      </c>
      <c r="C438" t="str">
        <v>Epic</v>
      </c>
      <c r="D438" t="str">
        <v>Client observability: setup to improve user experience</v>
      </c>
      <c r="E438" t="str">
        <v>Done</v>
      </c>
      <c r="F438" t="str">
        <v>2024-04-09</v>
      </c>
      <c r="H438" t="str">
        <v>2024 Q2</v>
      </c>
    </row>
    <row r="439">
      <c r="B439" t="str">
        <v>alkemio</v>
      </c>
      <c r="C439" t="str">
        <v>Epic,client</v>
      </c>
      <c r="D439" t="str">
        <v>Client: Tech debt - Bucket</v>
      </c>
      <c r="E439" t="str">
        <v>Done</v>
      </c>
      <c r="H439" t="str">
        <v>2024 Q2</v>
      </c>
    </row>
    <row r="440">
      <c r="B440" t="str">
        <v>alkemio</v>
      </c>
      <c r="C440" t="str">
        <v>Epic,Atlas Team</v>
      </c>
      <c r="D440" t="str">
        <v>VC: External AI service</v>
      </c>
      <c r="E440" t="str">
        <v>Done</v>
      </c>
      <c r="F440" t="str">
        <v>2024-10-08</v>
      </c>
      <c r="G440" t="str">
        <v>Virtual Contributors: Q3 2024</v>
      </c>
    </row>
    <row r="441">
      <c r="B441" t="str">
        <v>alkemio</v>
      </c>
      <c r="C441" t="str">
        <v>Epic,Rhea Team</v>
      </c>
      <c r="D441" t="str">
        <v>Invitations for roles</v>
      </c>
      <c r="E441" t="str">
        <v>Done</v>
      </c>
      <c r="F441" t="str">
        <v>2024-10-08</v>
      </c>
      <c r="G441" t="str">
        <v>Create your own Space: GA</v>
      </c>
      <c r="H441" t="str">
        <v>2024 Q3</v>
      </c>
      <c r="K441">
        <v>15</v>
      </c>
    </row>
    <row r="442">
      <c r="B442" t="str">
        <v>alkemio</v>
      </c>
      <c r="C442" t="str">
        <v>Epic,Infrastructure</v>
      </c>
      <c r="D442" t="str">
        <v>Infrastructure: Cluster fixes vNext</v>
      </c>
      <c r="E442" t="str">
        <v>Done</v>
      </c>
      <c r="F442" t="str">
        <v>2024-10-08</v>
      </c>
    </row>
    <row r="443">
      <c r="B443" t="str">
        <v>alkemio</v>
      </c>
      <c r="C443" t="str">
        <v>Epic,Rhea Team</v>
      </c>
      <c r="D443" t="str">
        <v>Engaging main pages for unauthenticated users (Dash, Explore Spaces, Find Contributors)</v>
      </c>
      <c r="E443" t="str">
        <v>Done</v>
      </c>
      <c r="F443" t="str">
        <v>2024-10-08</v>
      </c>
      <c r="G443" t="str">
        <v>Exciting first impression</v>
      </c>
    </row>
    <row r="444">
      <c r="B444" t="str">
        <v>alkemio</v>
      </c>
      <c r="C444" t="str">
        <v>Epic,Security</v>
      </c>
      <c r="D444" t="str">
        <v xml:space="preserve">Global roles </v>
      </c>
      <c r="E444" t="str">
        <v>Done</v>
      </c>
      <c r="G444" t="str">
        <v>Robust Service phase 1</v>
      </c>
    </row>
    <row r="445">
      <c r="B445" t="str">
        <v>alkemio</v>
      </c>
      <c r="C445" t="str">
        <v>Epic,Product Discussion</v>
      </c>
      <c r="D445" t="str">
        <v>Upgrading/Downgrading Space license</v>
      </c>
      <c r="E445" t="str">
        <v>New</v>
      </c>
      <c r="G445" t="str">
        <v>Products + Licensing</v>
      </c>
    </row>
    <row r="446">
      <c r="B446" t="str">
        <v>alkemio</v>
      </c>
      <c r="C446" t="str">
        <v>Epic,Roadmap Candidate</v>
      </c>
      <c r="D446" t="str">
        <v>Organization credentials to be used by user</v>
      </c>
      <c r="E446" t="str">
        <v>Done</v>
      </c>
    </row>
    <row r="447">
      <c r="B447" t="str">
        <v>alkemio</v>
      </c>
      <c r="C447" t="str">
        <v>Epic</v>
      </c>
      <c r="D447" t="str">
        <v>Transparency on Space settings/library/etc for Space members</v>
      </c>
      <c r="E447" t="str">
        <v>New</v>
      </c>
      <c r="G447" t="str">
        <v>Smoothly joining a community</v>
      </c>
    </row>
    <row r="448">
      <c r="B448" t="str">
        <v>alkemio</v>
      </c>
      <c r="C448" t="str">
        <v>Epic</v>
      </c>
      <c r="D448" t="str">
        <v>Create your own space: GA</v>
      </c>
      <c r="E448" t="str">
        <v>Done</v>
      </c>
    </row>
    <row r="449">
      <c r="B449" t="str">
        <v>alkemio</v>
      </c>
      <c r="C449" t="str">
        <v>Epic,Product Team</v>
      </c>
      <c r="D449" t="str">
        <v>Policy Updates</v>
      </c>
      <c r="E449" t="str">
        <v>New</v>
      </c>
      <c r="F449" t="str">
        <v>2024-06-18</v>
      </c>
      <c r="H449" t="str">
        <v>2024 Q2</v>
      </c>
    </row>
    <row r="450">
      <c r="B450" t="str">
        <v>alkemio</v>
      </c>
      <c r="C450" t="str">
        <v>Epic</v>
      </c>
      <c r="D450" t="str">
        <v>Invitations / applications: polishing</v>
      </c>
      <c r="E450" t="str">
        <v>New</v>
      </c>
      <c r="G450" t="str">
        <v>Smoothly joining a community</v>
      </c>
    </row>
    <row r="451">
      <c r="B451" t="str">
        <v>alkemio</v>
      </c>
      <c r="C451" t="str">
        <v>Epic</v>
      </c>
      <c r="D451" t="str">
        <v>User verification flow</v>
      </c>
      <c r="E451" t="str">
        <v>New</v>
      </c>
      <c r="G451" t="str">
        <v>Create your own Space: GA</v>
      </c>
    </row>
    <row r="452">
      <c r="B452" t="str">
        <v>alkemio</v>
      </c>
      <c r="C452" t="str">
        <v>Epic</v>
      </c>
      <c r="D452" t="str">
        <v>Alkemio Expert Personas: allow creation + management</v>
      </c>
      <c r="E452" t="str">
        <v>Done</v>
      </c>
    </row>
    <row r="453">
      <c r="B453" t="str">
        <v>alkemio</v>
      </c>
      <c r="C453" t="str">
        <v>Epic</v>
      </c>
      <c r="D453" t="str">
        <v>VC: Threaded interactions</v>
      </c>
      <c r="E453" t="str">
        <v>Done</v>
      </c>
      <c r="F453" t="str">
        <v>2024-07-16</v>
      </c>
      <c r="G453" t="str">
        <v>Virtual Contributors: Q3 2024</v>
      </c>
      <c r="H453" t="str">
        <v>2024 Q3</v>
      </c>
    </row>
    <row r="454">
      <c r="B454" t="str">
        <v>alkemio</v>
      </c>
      <c r="C454" t="str">
        <v>Epic</v>
      </c>
      <c r="D454" t="str">
        <v>VC: Insights on sources used</v>
      </c>
      <c r="E454" t="str">
        <v>Done</v>
      </c>
    </row>
    <row r="455">
      <c r="B455" t="str">
        <v>alkemio</v>
      </c>
      <c r="C455" t="str">
        <v>Epic</v>
      </c>
      <c r="D455" t="str">
        <v>Space AI service - EU LLM</v>
      </c>
      <c r="E455" t="str">
        <v>Done</v>
      </c>
    </row>
    <row r="456">
      <c r="B456" t="str">
        <v>alkemio</v>
      </c>
      <c r="C456" t="str">
        <v>Epic</v>
      </c>
      <c r="D456" t="str">
        <v>Cluster Health Monitoring Dashboards</v>
      </c>
      <c r="E456" t="str">
        <v>New</v>
      </c>
    </row>
    <row r="457">
      <c r="B457" t="str">
        <v>infrastructure-operations</v>
      </c>
      <c r="C457" t="str">
        <v>operations,Epic,Infrastructure</v>
      </c>
      <c r="D457" t="str">
        <v>Avatars stored on Alkemio</v>
      </c>
      <c r="E457" t="str">
        <v>Done</v>
      </c>
      <c r="F457" t="str">
        <v>2024-08-13</v>
      </c>
      <c r="H457" t="str">
        <v>2024 Q3</v>
      </c>
    </row>
    <row r="458">
      <c r="A458" t="str">
        <v>Svetoslav Petkov</v>
      </c>
      <c r="B458" t="str">
        <v>alkemio</v>
      </c>
      <c r="C458" t="str">
        <v>Epic</v>
      </c>
      <c r="D458" t="str">
        <v xml:space="preserve">Stability: Atomic creation of key entities </v>
      </c>
      <c r="E458" t="str">
        <v>Done</v>
      </c>
      <c r="F458" t="str">
        <v>2024-08-13</v>
      </c>
      <c r="H458" t="str">
        <v>2024 Q3</v>
      </c>
    </row>
    <row r="459">
      <c r="B459" t="str">
        <v>infrastructure-operations</v>
      </c>
      <c r="C459" t="str">
        <v>operations,Epic,Infrastructure,Release this sprint</v>
      </c>
      <c r="D459" t="str">
        <v>Hosting: Bare metal + performance</v>
      </c>
      <c r="E459" t="str">
        <v>Done</v>
      </c>
      <c r="F459" t="str">
        <v>2024-08-13</v>
      </c>
    </row>
    <row r="460">
      <c r="B460" t="str">
        <v>alkemio</v>
      </c>
      <c r="C460" t="str">
        <v>Epic,Release this sprint</v>
      </c>
      <c r="D460" t="str">
        <v>VC: On-boarding flow ++</v>
      </c>
      <c r="E460" t="str">
        <v>Done</v>
      </c>
      <c r="F460" t="str">
        <v>2024-08-13</v>
      </c>
      <c r="G460" t="str">
        <v>Virtual Contributors: Q3 2024</v>
      </c>
    </row>
    <row r="461">
      <c r="B461" t="str">
        <v>alkemio</v>
      </c>
      <c r="C461" t="str">
        <v>Epic,Release this sprint</v>
      </c>
      <c r="D461" t="str">
        <v>Optimization of authorization reset process</v>
      </c>
      <c r="E461" t="str">
        <v>Done</v>
      </c>
      <c r="F461" t="str">
        <v>2024-08-13</v>
      </c>
      <c r="H461" t="str">
        <v>2024 Q3</v>
      </c>
    </row>
    <row r="462">
      <c r="B462" t="str">
        <v>infrastructure-operations</v>
      </c>
      <c r="C462" t="str">
        <v>operations,Epic,Infrastructure,Release this sprint</v>
      </c>
      <c r="D462" t="str">
        <v>Hosting post-Azure credits</v>
      </c>
      <c r="E462" t="str">
        <v>Done</v>
      </c>
      <c r="F462" t="str">
        <v>2024-08-13</v>
      </c>
    </row>
    <row r="463">
      <c r="A463" t="str">
        <v>Neil Smyth</v>
      </c>
      <c r="B463" t="str">
        <v>alkemio</v>
      </c>
      <c r="C463" t="str">
        <v>Epic,Release this sprint</v>
      </c>
      <c r="D463" t="str">
        <v>VCs: EU-hosted LLM</v>
      </c>
      <c r="E463" t="str">
        <v>Done</v>
      </c>
      <c r="F463" t="str">
        <v>2024-08-13</v>
      </c>
      <c r="G463" t="str">
        <v>Virtual Contributors: Q3 2024</v>
      </c>
      <c r="H463" t="str">
        <v>2024 Q3</v>
      </c>
    </row>
    <row r="464">
      <c r="B464" t="str">
        <v>alkemio</v>
      </c>
      <c r="C464" t="str">
        <v>Epic</v>
      </c>
      <c r="D464" t="str">
        <v>Bucket: VC improving the answers/response</v>
      </c>
      <c r="E464" t="str">
        <v>New</v>
      </c>
    </row>
    <row r="465">
      <c r="B465" t="str">
        <v>alkemio</v>
      </c>
      <c r="C465" t="str">
        <v>Epic</v>
      </c>
      <c r="D465" t="str">
        <v>Stability: Client error tracing + reproduction</v>
      </c>
      <c r="E465" t="str">
        <v>New</v>
      </c>
    </row>
    <row r="466">
      <c r="B466" t="str">
        <v>alkemio</v>
      </c>
      <c r="C466" t="str">
        <v>Epic</v>
      </c>
      <c r="D466" t="str">
        <v>XXXStability: Client error analysis + reduction</v>
      </c>
      <c r="E466" t="str">
        <v>Done</v>
      </c>
    </row>
    <row r="467">
      <c r="B467" t="str">
        <v>alkemio</v>
      </c>
      <c r="C467" t="str">
        <v>Epic</v>
      </c>
      <c r="D467" t="str">
        <v>Platform administration for organisation</v>
      </c>
      <c r="E467" t="str">
        <v>Done</v>
      </c>
      <c r="F467" t="str">
        <v>2024-09-10</v>
      </c>
    </row>
    <row r="468">
      <c r="A468" t="str">
        <v>Valentin Yanakiev</v>
      </c>
      <c r="B468" t="str">
        <v>alkemio</v>
      </c>
      <c r="C468" t="str">
        <v>Epic,Atlas Team</v>
      </c>
      <c r="D468" t="str">
        <v>Data Integrity: Migrations reset; schema definition; orphaned data</v>
      </c>
      <c r="E468" t="str">
        <v>Done</v>
      </c>
      <c r="F468" t="str">
        <v>2024-09-10</v>
      </c>
      <c r="H468" t="str">
        <v>2024 Q3</v>
      </c>
      <c r="I468">
        <v>50</v>
      </c>
      <c r="K468">
        <v>24</v>
      </c>
    </row>
    <row r="469">
      <c r="B469" t="str">
        <v>alkemio</v>
      </c>
      <c r="C469" t="str">
        <v>Epic,QA,Product Discussion</v>
      </c>
      <c r="D469" t="str">
        <v>Performance Test Suite for api</v>
      </c>
      <c r="E469" t="str">
        <v>New</v>
      </c>
    </row>
    <row r="470">
      <c r="B470" t="str">
        <v>alkemio</v>
      </c>
      <c r="C470" t="str">
        <v>Epic,Roadmap Discussion</v>
      </c>
      <c r="D470" t="str">
        <v>Space Template</v>
      </c>
      <c r="E470" t="str">
        <v>Done</v>
      </c>
      <c r="G470" t="str">
        <v>Products + Licensing</v>
      </c>
    </row>
    <row r="471">
      <c r="B471" t="str">
        <v>alkemio</v>
      </c>
      <c r="C471" t="str">
        <v>Epic</v>
      </c>
      <c r="D471" t="str">
        <v>Act as...</v>
      </c>
      <c r="E471" t="str">
        <v>New</v>
      </c>
      <c r="G471" t="str">
        <v>Innovation Professional Support</v>
      </c>
    </row>
    <row r="472">
      <c r="B472" t="str">
        <v>alkemio</v>
      </c>
      <c r="C472" t="str">
        <v>Epic</v>
      </c>
      <c r="D472" t="str">
        <v>Bucket: Open Source Integrations</v>
      </c>
      <c r="E472" t="str">
        <v>New</v>
      </c>
    </row>
    <row r="473">
      <c r="B473" t="str">
        <v>alkemio</v>
      </c>
      <c r="C473" t="str">
        <v>Epic</v>
      </c>
      <c r="D473" t="str">
        <v>Consistency in notifications for interaction in a space</v>
      </c>
      <c r="E473" t="str">
        <v>New</v>
      </c>
    </row>
    <row r="474">
      <c r="B474" t="str">
        <v>alkemio</v>
      </c>
      <c r="C474" t="str">
        <v>Epic</v>
      </c>
      <c r="D474" t="str">
        <v>Onboarding new Space members - after sign-up flow</v>
      </c>
      <c r="E474" t="str">
        <v>New</v>
      </c>
    </row>
    <row r="475">
      <c r="B475" t="str">
        <v>alkemio</v>
      </c>
      <c r="C475" t="str">
        <v>Epic,Product Discussion</v>
      </c>
      <c r="D475" t="str">
        <v>VS: Meta information on knowledge base</v>
      </c>
      <c r="E475" t="str">
        <v>New</v>
      </c>
    </row>
    <row r="476">
      <c r="B476" t="str">
        <v>alkemio</v>
      </c>
      <c r="C476" t="str">
        <v>Epic</v>
      </c>
      <c r="D476" t="str">
        <v>Enhance Tag Management and Usability</v>
      </c>
      <c r="E476" t="str">
        <v>Being elaborated</v>
      </c>
    </row>
    <row r="477">
      <c r="B477" t="str">
        <v>alkemio</v>
      </c>
      <c r="C477" t="str">
        <v>Epic</v>
      </c>
      <c r="D477" t="str">
        <v>New Callout type (partner preference)</v>
      </c>
      <c r="E477" t="str">
        <v>Roadmap</v>
      </c>
      <c r="G477" t="str">
        <v>Richer interaction inside the Space</v>
      </c>
      <c r="H477" t="str">
        <v>2024 Q3</v>
      </c>
    </row>
    <row r="478">
      <c r="B478" t="str">
        <v>alkemio</v>
      </c>
      <c r="C478" t="str">
        <v>Epic,Roadmap Discussion</v>
      </c>
      <c r="D478" t="str">
        <v xml:space="preserve"> Reporting: additional details</v>
      </c>
      <c r="E478" t="str">
        <v>New</v>
      </c>
      <c r="G478" t="str">
        <v>Usage insights</v>
      </c>
    </row>
    <row r="479">
      <c r="B479" t="str">
        <v>alkemio</v>
      </c>
      <c r="C479" t="str">
        <v>Epic</v>
      </c>
      <c r="D479" t="str">
        <v>Client Optimization: Optimizing Assets: images</v>
      </c>
      <c r="E479" t="str">
        <v>New</v>
      </c>
      <c r="F479" t="str">
        <v>2025-10-28</v>
      </c>
    </row>
    <row r="480">
      <c r="B480" t="str">
        <v>alkemio</v>
      </c>
      <c r="C480" t="str">
        <v>Epic</v>
      </c>
      <c r="D480" t="str">
        <v>Client Optimization: Optimizing Assets: Serve static files/CDN</v>
      </c>
      <c r="E480" t="str">
        <v>New</v>
      </c>
    </row>
    <row r="481">
      <c r="B481" t="str">
        <v>alkemio</v>
      </c>
      <c r="C481" t="str">
        <v>Epic</v>
      </c>
      <c r="D481" t="str">
        <v>Client Optimization: Optimizing code execution</v>
      </c>
      <c r="E481" t="str">
        <v>Done</v>
      </c>
    </row>
    <row r="482">
      <c r="B482" t="str">
        <v>alkemio</v>
      </c>
      <c r="C482" t="str">
        <v>Epic</v>
      </c>
      <c r="D482" t="str">
        <v>Client Optimization: Server Calls</v>
      </c>
      <c r="E482" t="str">
        <v>New</v>
      </c>
    </row>
    <row r="483">
      <c r="B483" t="str">
        <v>alkemio</v>
      </c>
      <c r="C483" t="str">
        <v>Epic,A: Community</v>
      </c>
      <c r="D483" t="str">
        <v>Open Badges support</v>
      </c>
      <c r="E483" t="str">
        <v>New</v>
      </c>
    </row>
    <row r="484">
      <c r="B484" t="str">
        <v>alkemio</v>
      </c>
      <c r="C484" t="str">
        <v>Epic</v>
      </c>
      <c r="D484" t="str">
        <v>VC: Tech debt + allow for additional agency through async invocation</v>
      </c>
      <c r="E484" t="str">
        <v>Done</v>
      </c>
      <c r="F484" t="str">
        <v>2024-12-17</v>
      </c>
    </row>
    <row r="485">
      <c r="B485" t="str">
        <v>alkemio</v>
      </c>
      <c r="C485" t="str">
        <v>Epic,Rhea Team</v>
      </c>
      <c r="D485" t="str">
        <v>Improving UX for "read only space"</v>
      </c>
      <c r="E485" t="str">
        <v>Done</v>
      </c>
      <c r="F485" t="str">
        <v>2024-12-17</v>
      </c>
      <c r="G485" t="str">
        <v>Exciting first impression</v>
      </c>
    </row>
    <row r="486">
      <c r="A486" t="str">
        <v>Valentin Yanakiev</v>
      </c>
      <c r="B486" t="str">
        <v>alkemio</v>
      </c>
      <c r="C486" t="str">
        <v>Epic,Infrastructure,Atlas Team</v>
      </c>
      <c r="D486" t="str">
        <v>Infrastructure: Maintainability Q4</v>
      </c>
      <c r="E486" t="str">
        <v>Done</v>
      </c>
      <c r="F486" t="str">
        <v>2024-12-17</v>
      </c>
      <c r="G486" t="str">
        <v>Improved Confidence in the Platform</v>
      </c>
    </row>
    <row r="487">
      <c r="B487" t="str">
        <v>alkemio</v>
      </c>
      <c r="C487" t="str">
        <v>Epic</v>
      </c>
      <c r="D487" t="str">
        <v xml:space="preserve">Bucket: User Documentation </v>
      </c>
      <c r="E487" t="str">
        <v>Being elaborated</v>
      </c>
    </row>
    <row r="488">
      <c r="B488" t="str">
        <v>alkemio</v>
      </c>
      <c r="C488" t="str">
        <v>Epic,Atlas Team</v>
      </c>
      <c r="D488" t="str">
        <v>Search: remove old search implementation</v>
      </c>
      <c r="E488" t="str">
        <v>Done</v>
      </c>
      <c r="G488" t="str">
        <v>Search: Smart</v>
      </c>
    </row>
    <row r="489">
      <c r="B489" t="str">
        <v>alkemio</v>
      </c>
      <c r="C489" t="str">
        <v>Epic,Roadmap Discussion,Product Discussion</v>
      </c>
      <c r="D489" t="str">
        <v>Space language</v>
      </c>
      <c r="E489" t="str">
        <v>New</v>
      </c>
    </row>
    <row r="490">
      <c r="B490" t="str">
        <v>alkemio</v>
      </c>
      <c r="C490" t="str">
        <v>Epic,Roadmap Discussion,Product Discussion</v>
      </c>
      <c r="D490" t="str">
        <v>Polis</v>
      </c>
      <c r="E490" t="str">
        <v>New</v>
      </c>
    </row>
    <row r="491">
      <c r="B491" t="str">
        <v>alkemio</v>
      </c>
      <c r="C491" t="str">
        <v>Epic,Roadmap Discussion</v>
      </c>
      <c r="D491" t="str">
        <v>Privacy/GDPR: user control on visibility</v>
      </c>
      <c r="E491" t="str">
        <v>New</v>
      </c>
      <c r="F491" t="str">
        <v>2025-10-28</v>
      </c>
    </row>
    <row r="492">
      <c r="B492" t="str">
        <v>alkemio</v>
      </c>
      <c r="C492" t="str">
        <v>Epic,Product Team</v>
      </c>
      <c r="D492" t="str">
        <v>Dutch website + documentation</v>
      </c>
      <c r="E492" t="str">
        <v>New</v>
      </c>
    </row>
    <row r="493">
      <c r="B493" t="str">
        <v>alkemio</v>
      </c>
      <c r="C493" t="str">
        <v>Epic,Product Discussion</v>
      </c>
      <c r="D493" t="str">
        <v>Transfer of Callouts between spaces</v>
      </c>
      <c r="E493" t="str">
        <v>New</v>
      </c>
    </row>
    <row r="494">
      <c r="B494" t="str">
        <v>alkemio</v>
      </c>
      <c r="C494" t="str">
        <v>Epic,Product Team</v>
      </c>
      <c r="D494" t="str">
        <v>User documentation V1</v>
      </c>
      <c r="E494" t="str">
        <v>Done</v>
      </c>
    </row>
    <row r="495">
      <c r="B495" t="str">
        <v>alkemio</v>
      </c>
      <c r="C495" t="str">
        <v>Epic,Product Discussion</v>
      </c>
      <c r="D495" t="str">
        <v>Inviting users to organization</v>
      </c>
      <c r="E495" t="str">
        <v>New</v>
      </c>
    </row>
    <row r="496">
      <c r="B496" t="str">
        <v>alkemio</v>
      </c>
      <c r="C496" t="str">
        <v>Epic</v>
      </c>
      <c r="D496" t="str">
        <v>3rd party upgrade Q1+2 2025</v>
      </c>
      <c r="E496" t="str">
        <v>New</v>
      </c>
    </row>
    <row r="497">
      <c r="B497" t="str">
        <v>alkemio</v>
      </c>
      <c r="C497" t="str">
        <v>Epic,Atlas Team,Rhea Team</v>
      </c>
      <c r="D497" t="str">
        <v>Notifications: Bucket tidy up</v>
      </c>
      <c r="E497" t="str">
        <v>New</v>
      </c>
      <c r="G497" t="str">
        <v>Notifications: on the platform, per space</v>
      </c>
    </row>
    <row r="498">
      <c r="B498" t="str">
        <v>alkemio</v>
      </c>
      <c r="C498" t="str">
        <v>Epic</v>
      </c>
      <c r="D498" t="str">
        <v>Bucket: Innovation flows</v>
      </c>
      <c r="E498" t="str">
        <v>Icebox</v>
      </c>
    </row>
    <row r="499">
      <c r="B499" t="str">
        <v>alkemio</v>
      </c>
      <c r="C499" t="str">
        <v>Epic</v>
      </c>
      <c r="D499" t="str">
        <v>VC: Work product output</v>
      </c>
      <c r="E499" t="str">
        <v>New</v>
      </c>
    </row>
    <row r="500">
      <c r="B500" t="str">
        <v>alkemio</v>
      </c>
      <c r="C500" t="str">
        <v>Epic</v>
      </c>
      <c r="D500" t="str">
        <v>VC: Workproduct input</v>
      </c>
      <c r="E500" t="str">
        <v>New</v>
      </c>
    </row>
    <row r="501">
      <c r="B501" t="str">
        <v>alkemio</v>
      </c>
      <c r="C501" t="str">
        <v>Epic</v>
      </c>
      <c r="D501" t="str">
        <v>Onboarding flow: polishing</v>
      </c>
      <c r="E501" t="str">
        <v>New</v>
      </c>
    </row>
    <row r="502">
      <c r="B502" t="str">
        <v>alkemio</v>
      </c>
      <c r="C502" t="str">
        <v>Epic</v>
      </c>
      <c r="D502" t="str">
        <v>Butcket: UX around a release</v>
      </c>
      <c r="E502" t="str">
        <v>New</v>
      </c>
    </row>
    <row r="503">
      <c r="B503" t="str">
        <v>alkemio</v>
      </c>
      <c r="C503" t="str">
        <v>Epic,Product Discussion</v>
      </c>
      <c r="D503" t="str">
        <v>New Callout Types</v>
      </c>
      <c r="E503" t="str">
        <v>New</v>
      </c>
    </row>
    <row r="504">
      <c r="B504" t="str">
        <v>alkemio</v>
      </c>
      <c r="C504" t="str">
        <v>Epic</v>
      </c>
      <c r="D504" t="str">
        <v>Bucket: OS/Browser version issues (to keep track)</v>
      </c>
      <c r="E504" t="str">
        <v>New</v>
      </c>
    </row>
    <row r="505">
      <c r="B505" t="str">
        <v>product</v>
      </c>
      <c r="C505" t="str">
        <v>Epic</v>
      </c>
      <c r="D505" t="str">
        <v>Epic: Steward ownership on the platform</v>
      </c>
      <c r="E505" t="str">
        <v>Done</v>
      </c>
    </row>
    <row r="506">
      <c r="B506" t="str">
        <v>alkemio</v>
      </c>
      <c r="C506" t="str">
        <v>Epic</v>
      </c>
      <c r="D506" t="str">
        <v>Matrix: Interaction with rooms outside directly</v>
      </c>
      <c r="E506" t="str">
        <v>New</v>
      </c>
    </row>
    <row r="507">
      <c r="B507" t="str">
        <v>alkemio</v>
      </c>
      <c r="C507" t="str">
        <v>Epic,Product Discussion</v>
      </c>
      <c r="D507" t="str">
        <v>Infrastructure Cost optimization</v>
      </c>
      <c r="E507" t="str">
        <v>New</v>
      </c>
      <c r="F507" t="str">
        <v>2025-10-14</v>
      </c>
    </row>
    <row r="508">
      <c r="B508" t="str">
        <v>alkemio</v>
      </c>
      <c r="C508" t="str">
        <v>Epic</v>
      </c>
      <c r="D508" t="str">
        <v>Basic usage supported on mobile</v>
      </c>
      <c r="E508" t="str">
        <v>New</v>
      </c>
      <c r="F508" t="str">
        <v>2025-10-14</v>
      </c>
    </row>
    <row r="509">
      <c r="B509" t="str">
        <v>alkemio</v>
      </c>
      <c r="C509" t="str">
        <v>Epic</v>
      </c>
      <c r="D509" t="str">
        <v>Richer and visible interactions in Space</v>
      </c>
      <c r="E509" t="str">
        <v>Roadmap</v>
      </c>
      <c r="F509" t="str">
        <v>2025-10-14</v>
      </c>
      <c r="H509" t="str">
        <v>2024 Q2</v>
      </c>
      <c r="I509">
        <v>30</v>
      </c>
    </row>
    <row r="510">
      <c r="A510" t="str">
        <v>Valentin Yanakiev</v>
      </c>
      <c r="B510" t="str">
        <v>alkemio</v>
      </c>
      <c r="C510" t="str">
        <v>Epic,Align Z-GP</v>
      </c>
      <c r="D510" t="str">
        <v>Platform admin: Identities</v>
      </c>
      <c r="E510" t="str">
        <v>Done</v>
      </c>
      <c r="F510" t="str">
        <v>2025-09-02</v>
      </c>
    </row>
    <row r="511">
      <c r="B511" t="str">
        <v>alkemio</v>
      </c>
      <c r="C511" t="str">
        <v>Epic,Align Z-GP</v>
      </c>
      <c r="D511" t="str">
        <v>Callouts: updated UI/UX 2.0</v>
      </c>
      <c r="E511" t="str">
        <v>Done</v>
      </c>
    </row>
    <row r="512">
      <c r="A512" t="str">
        <v>Carlos Cano</v>
      </c>
      <c r="B512" t="str">
        <v>alkemio</v>
      </c>
      <c r="C512" t="str">
        <v>Epic</v>
      </c>
      <c r="D512" t="str">
        <v>Callouts: updated UI/UX v2</v>
      </c>
      <c r="E512" t="str">
        <v>New</v>
      </c>
    </row>
    <row r="513">
      <c r="B513" t="str">
        <v>alkemio</v>
      </c>
      <c r="C513" t="str">
        <v>Epic</v>
      </c>
      <c r="D513" t="str">
        <v>Richer space: media gallery (M)</v>
      </c>
      <c r="E513" t="str">
        <v>Roadmap</v>
      </c>
    </row>
    <row r="514">
      <c r="A514" t="str">
        <v>Valentin Yanakiev</v>
      </c>
      <c r="B514" t="str">
        <v>alkemio</v>
      </c>
      <c r="C514" t="str">
        <v>Epic</v>
      </c>
      <c r="D514" t="str">
        <v>Client Automation (UI) (M)</v>
      </c>
      <c r="E514" t="str">
        <v>New</v>
      </c>
    </row>
    <row r="515">
      <c r="B515" t="str">
        <v>infrastructure-operations</v>
      </c>
      <c r="C515" t="str">
        <v>operations,Epic,Infrastructure</v>
      </c>
      <c r="D515" t="str">
        <v>Authentication robustness</v>
      </c>
      <c r="E515" t="str">
        <v>New</v>
      </c>
      <c r="F515" t="str">
        <v>2025-10-14</v>
      </c>
    </row>
    <row r="516">
      <c r="B516" t="str">
        <v>alkemio</v>
      </c>
      <c r="C516" t="str">
        <v>Epic,client,Rhea Team</v>
      </c>
      <c r="D516" t="str">
        <v>React compiler: phase 1</v>
      </c>
      <c r="E516" t="str">
        <v>New</v>
      </c>
      <c r="F516" t="str">
        <v>2025-09-30</v>
      </c>
    </row>
    <row r="517">
      <c r="B517" t="str">
        <v>alkemio</v>
      </c>
      <c r="C517" t="str">
        <v>Epic</v>
      </c>
      <c r="D517" t="str">
        <v>Client rendering + navigation</v>
      </c>
      <c r="E517" t="str">
        <v>New</v>
      </c>
      <c r="F517" t="str">
        <v>2025-10-14</v>
      </c>
    </row>
    <row r="518">
      <c r="B518" t="str">
        <v>alkemio</v>
      </c>
      <c r="C518" t="str">
        <v>Epic</v>
      </c>
      <c r="D518" t="str">
        <v>Guided user onboarding (M)</v>
      </c>
      <c r="E518" t="str">
        <v>New</v>
      </c>
    </row>
  </sheetData>
  <pageMargins left="0.7" right="0.7" top="0.75" bottom="0.75" header="0.3" footer="0.3"/>
  <ignoredErrors>
    <ignoredError numberStoredAsText="1" sqref="A1:U5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Parameters</vt:lpstr>
      <vt:lpstr>Capacity</vt:lpstr>
      <vt:lpstr>GITHUB_EPICS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2023-01-30T14:25:48Z</dcterms:created>
  <dcterms:modified xsi:type="dcterms:W3CDTF">2025-10-02T13:07:48Z</dcterms:modified>
  <cp:lastModifiedBy>Neil Smyth</cp:lastModifiedBy>
  <cp:revision>1</cp:revision>
  <dc:creator>Neil Smyth</dc:creator>
  <dc:language>en-US</dc:language>
</cp:coreProperties>
</file>