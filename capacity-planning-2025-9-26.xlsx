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eil\Documents\DevAlkemio\github-api\"/>
    </mc:Choice>
  </mc:AlternateContent>
  <xr:revisionPtr revIDLastSave="0" documentId="13_ncr:1_{EA8AF3FC-ECA9-4E8C-8B4A-6EF341B72353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Parameters" sheetId="1" r:id="rId1"/>
    <sheet name="Capacity" sheetId="2" r:id="rId2"/>
    <sheet name="GITHUB_EPICS" sheetId="3" r:id="rId3"/>
  </sheets>
  <definedNames>
    <definedName name="_xlnm._FilterDatabase" localSheetId="2" hidden="1">GITHUB_EPICS!$A$1:$L$270</definedName>
    <definedName name="EPICS_ESTIMATE">GITHUB_EPICS!$F$2:$F$62</definedName>
    <definedName name="EPICS_PERIOD">GITHUB_EPICS!$G$2:$G$62</definedName>
    <definedName name="EPICS_STATUS">GITHUB_EPICS!$D$2:$D$62</definedName>
    <definedName name="EPICS_TYPE">GITHUB_EPICS!$E$2:$E$62</definedName>
    <definedName name="PERIODS">Parameters!$A$6:$A$46</definedName>
    <definedName name="PLANNING">Parameters!$A$6:$J$12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E11" i="2"/>
  <c r="A11" i="2"/>
  <c r="K11" i="2" s="1"/>
  <c r="L10" i="2"/>
  <c r="K10" i="2"/>
  <c r="J10" i="2"/>
  <c r="I10" i="2"/>
  <c r="H10" i="2"/>
  <c r="G10" i="2"/>
  <c r="F10" i="2"/>
  <c r="E10" i="2"/>
  <c r="D10" i="2"/>
  <c r="B10" i="2"/>
  <c r="L9" i="2"/>
  <c r="K9" i="2"/>
  <c r="J9" i="2"/>
  <c r="I9" i="2"/>
  <c r="H9" i="2"/>
  <c r="G9" i="2"/>
  <c r="F9" i="2"/>
  <c r="E9" i="2"/>
  <c r="D9" i="2"/>
  <c r="B9" i="2"/>
  <c r="F8" i="2"/>
  <c r="E8" i="2"/>
  <c r="B8" i="2"/>
  <c r="A8" i="2"/>
  <c r="D8" i="2" s="1"/>
  <c r="L7" i="2"/>
  <c r="K7" i="2"/>
  <c r="J7" i="2"/>
  <c r="G7" i="2"/>
  <c r="E7" i="2"/>
  <c r="A7" i="2"/>
  <c r="I7" i="2" s="1"/>
  <c r="L6" i="2"/>
  <c r="K6" i="2"/>
  <c r="J6" i="2"/>
  <c r="I6" i="2"/>
  <c r="H6" i="2"/>
  <c r="G6" i="2"/>
  <c r="F6" i="2"/>
  <c r="E6" i="2"/>
  <c r="D6" i="2"/>
  <c r="B6" i="2"/>
  <c r="L5" i="2"/>
  <c r="K5" i="2"/>
  <c r="J5" i="2"/>
  <c r="I5" i="2"/>
  <c r="H5" i="2"/>
  <c r="G5" i="2"/>
  <c r="F5" i="2"/>
  <c r="E5" i="2"/>
  <c r="D5" i="2"/>
  <c r="B5" i="2"/>
  <c r="E12" i="1"/>
  <c r="G12" i="1" s="1"/>
  <c r="I12" i="1" s="1"/>
  <c r="C11" i="2" s="1"/>
  <c r="B12" i="1"/>
  <c r="B11" i="1"/>
  <c r="E11" i="1" s="1"/>
  <c r="G11" i="1" s="1"/>
  <c r="I11" i="1" s="1"/>
  <c r="E10" i="1"/>
  <c r="G10" i="1" s="1"/>
  <c r="I10" i="1" s="1"/>
  <c r="B10" i="1"/>
  <c r="B9" i="1"/>
  <c r="E9" i="1" s="1"/>
  <c r="G9" i="1" s="1"/>
  <c r="I9" i="1" s="1"/>
  <c r="C8" i="2" s="1"/>
  <c r="B8" i="1"/>
  <c r="E8" i="1" s="1"/>
  <c r="G8" i="1" s="1"/>
  <c r="I8" i="1" s="1"/>
  <c r="C7" i="2" s="1"/>
  <c r="B7" i="1"/>
  <c r="E7" i="1" s="1"/>
  <c r="G7" i="1" s="1"/>
  <c r="I7" i="1" s="1"/>
  <c r="C6" i="2" s="1"/>
  <c r="E6" i="1"/>
  <c r="G6" i="1" s="1"/>
  <c r="I6" i="1" s="1"/>
  <c r="C5" i="2" s="1"/>
  <c r="M9" i="2" l="1"/>
  <c r="M6" i="2"/>
  <c r="M5" i="2"/>
  <c r="M10" i="2"/>
  <c r="C9" i="2"/>
  <c r="C10" i="2"/>
  <c r="G8" i="2"/>
  <c r="H8" i="2"/>
  <c r="J8" i="2"/>
  <c r="B7" i="2"/>
  <c r="K8" i="2"/>
  <c r="I8" i="2"/>
  <c r="L8" i="2"/>
  <c r="D7" i="2"/>
  <c r="F7" i="2"/>
  <c r="H7" i="2"/>
  <c r="B11" i="2"/>
  <c r="D11" i="2"/>
  <c r="F11" i="2"/>
  <c r="G11" i="2"/>
  <c r="H11" i="2"/>
  <c r="I11" i="2"/>
  <c r="J11" i="2"/>
  <c r="M7" i="2" l="1"/>
  <c r="M8" i="2"/>
  <c r="M11" i="2"/>
</calcChain>
</file>

<file path=xl/sharedStrings.xml><?xml version="1.0" encoding="utf-8"?>
<sst xmlns="http://schemas.openxmlformats.org/spreadsheetml/2006/main" count="1376" uniqueCount="413">
  <si>
    <t>Capacity planning for Alkemio</t>
  </si>
  <si>
    <t>This tab provides teams' velocity and overall releases capacity overview based on the current version of 2015 release calendar.</t>
  </si>
  <si>
    <t>Time Period</t>
  </si>
  <si>
    <t>Time Period Start</t>
  </si>
  <si>
    <t>Time Period End</t>
  </si>
  <si>
    <t>Features allocation, %</t>
  </si>
  <si>
    <t>Development Sprints available</t>
  </si>
  <si>
    <t>Vacations / Done (sprints)</t>
  </si>
  <si>
    <t>Available Sprints</t>
  </si>
  <si>
    <t>Points / sprint</t>
  </si>
  <si>
    <t>Capacity</t>
  </si>
  <si>
    <t>Comments</t>
  </si>
  <si>
    <t>2023 Q1</t>
  </si>
  <si>
    <t>2023 Q2</t>
  </si>
  <si>
    <t>Note: update to have each period start / end adjustable</t>
  </si>
  <si>
    <t>2023 Q3</t>
  </si>
  <si>
    <t>2023 Q4</t>
  </si>
  <si>
    <t>2024 Q1</t>
  </si>
  <si>
    <t>2024 Q2</t>
  </si>
  <si>
    <t>2024 H2</t>
  </si>
  <si>
    <t>Delivery</t>
  </si>
  <si>
    <t>Planned</t>
  </si>
  <si>
    <t>Available</t>
  </si>
  <si>
    <t>Done</t>
  </si>
  <si>
    <t>Total</t>
  </si>
  <si>
    <t>Functionality: Tactical</t>
  </si>
  <si>
    <t>Maintenance</t>
  </si>
  <si>
    <t>Operations: Security</t>
  </si>
  <si>
    <t>Operations: Effectiveness</t>
  </si>
  <si>
    <t>Usability</t>
  </si>
  <si>
    <t>Performance</t>
  </si>
  <si>
    <t>Functionality: Strategic</t>
  </si>
  <si>
    <t>Not specified</t>
  </si>
  <si>
    <t>Assignees</t>
  </si>
  <si>
    <t>Repository</t>
  </si>
  <si>
    <t>Labels</t>
  </si>
  <si>
    <t>Title</t>
  </si>
  <si>
    <t>Status</t>
  </si>
  <si>
    <t>Sprint</t>
  </si>
  <si>
    <t>Milestone</t>
  </si>
  <si>
    <t>Period</t>
  </si>
  <si>
    <t>EpicPoints</t>
  </si>
  <si>
    <t>Partner</t>
  </si>
  <si>
    <t>SprintPoints</t>
  </si>
  <si>
    <t>Carlos Cano</t>
  </si>
  <si>
    <t>alkemio</t>
  </si>
  <si>
    <t>Epic</t>
  </si>
  <si>
    <t>Callouts: updated UI/UX</t>
  </si>
  <si>
    <t>New</t>
  </si>
  <si>
    <t>2025-09-16</t>
  </si>
  <si>
    <t>Bobby Kolev</t>
  </si>
  <si>
    <t>Video calling services</t>
  </si>
  <si>
    <t>Being elaborated</t>
  </si>
  <si>
    <t>Valentin Yanakiev,Donna</t>
  </si>
  <si>
    <t>Epic,Product Discussion</t>
  </si>
  <si>
    <t>Authentication: Support for public sector identities</t>
  </si>
  <si>
    <t>In progress</t>
  </si>
  <si>
    <t>Improved Confidence in the Platform</t>
  </si>
  <si>
    <t>Template pack: UI improvements</t>
  </si>
  <si>
    <t>Vladimir Aleksiev</t>
  </si>
  <si>
    <t>VC: Enable prototyping</t>
  </si>
  <si>
    <t>Notifications: InApp full set of events</t>
  </si>
  <si>
    <t>Notifications: on the platform, per space</t>
  </si>
  <si>
    <t>Bobby Kolev,Svetoslav Petkov</t>
  </si>
  <si>
    <t>Notifications: Controls per space</t>
  </si>
  <si>
    <t>2025-10-14</t>
  </si>
  <si>
    <t>Multiple email support</t>
  </si>
  <si>
    <t>Roadmap</t>
  </si>
  <si>
    <t>2024 Q3</t>
  </si>
  <si>
    <t>Follow a Space / Challenge / Opportunity</t>
  </si>
  <si>
    <t>Notifications: Grouping + additional types</t>
  </si>
  <si>
    <t>2025-10-28</t>
  </si>
  <si>
    <t xml:space="preserve">Preference for aggregated of notifications </t>
  </si>
  <si>
    <t>Notifications: Aggregation of events</t>
  </si>
  <si>
    <t>Extend set of events for notifications (inapp + email)</t>
  </si>
  <si>
    <t>Innovation Flow: settings and default callout content</t>
  </si>
  <si>
    <t>2025-09-30</t>
  </si>
  <si>
    <t>Core Capabilities</t>
  </si>
  <si>
    <t>Polina Boneva</t>
  </si>
  <si>
    <t>Epic,client</t>
  </si>
  <si>
    <t>Accessibility: WCAG 2.1</t>
  </si>
  <si>
    <t>Templates: Interaction Space library and platform library</t>
  </si>
  <si>
    <t>Templates: Complete set</t>
  </si>
  <si>
    <t>Converter service: Picture to whiteboard</t>
  </si>
  <si>
    <t>Valentin Yanakiev</t>
  </si>
  <si>
    <t>Sharing/Collaborating in callouts with unauthenticated users</t>
  </si>
  <si>
    <t>Svetoslav Petkov</t>
  </si>
  <si>
    <t>Epic,Atlas Team</t>
  </si>
  <si>
    <t>Epic,Atlas Team,Rhea Team</t>
  </si>
  <si>
    <t>Independent issues</t>
  </si>
  <si>
    <t>[Bucket] Reducing errors &amp; warnings</t>
  </si>
  <si>
    <t>Incident Response Protocol and Improvements</t>
  </si>
  <si>
    <t>(Sub)Space Templates: Preview + Management</t>
  </si>
  <si>
    <t>Calendar events Bucket: Importing/Exporting; flexible time; show events from related sub/space</t>
  </si>
  <si>
    <t>infrastructure-operations</t>
  </si>
  <si>
    <t>operations,Epic,Infrastructure</t>
  </si>
  <si>
    <t>External Penetration Testing [Q4 2025]</t>
  </si>
  <si>
    <t>Avans</t>
  </si>
  <si>
    <t>Client Tech debt: Q4 2025</t>
  </si>
  <si>
    <t>Being defined</t>
  </si>
  <si>
    <t>End-end tracking across welcome site &gt; platform</t>
  </si>
  <si>
    <t>operations,QA</t>
  </si>
  <si>
    <t>Stress testing the platform</t>
  </si>
  <si>
    <t>User-user messaging (Matrix)</t>
  </si>
  <si>
    <t>User to user messaging on the platform</t>
  </si>
  <si>
    <t>Working on Alkemio as an Organization</t>
  </si>
  <si>
    <t>Matrix scalability</t>
  </si>
  <si>
    <t>Exposing Matrix Externally (Usage of Alkemio platform identities for Matrix)</t>
  </si>
  <si>
    <t>Epic,Roadmap Discussion</t>
  </si>
  <si>
    <t>Scalable whiteboard collaboration service</t>
  </si>
  <si>
    <t>Epic,QA,Refinement,Atlas Team</t>
  </si>
  <si>
    <t>Test suites: validate database content</t>
  </si>
  <si>
    <t>Simone</t>
  </si>
  <si>
    <t>Epic,Rhea Team</t>
  </si>
  <si>
    <t>Fixing MD editor bugs</t>
  </si>
  <si>
    <t>Defined</t>
  </si>
  <si>
    <t>Neil Smyth</t>
  </si>
  <si>
    <t>Richer interaction inside the Space</t>
  </si>
  <si>
    <t>Epic,client,Product Discussion</t>
  </si>
  <si>
    <t>Visible Errors to the user - Improve observability and feedback</t>
  </si>
  <si>
    <t>Subscriptions on all Space pages</t>
  </si>
  <si>
    <t>Hidden Spaces</t>
  </si>
  <si>
    <t>Command line utilities for non-devs</t>
  </si>
  <si>
    <t>Epic,Roadmap Discussion,New this Sprint</t>
  </si>
  <si>
    <t>Licensing: Account management</t>
  </si>
  <si>
    <t>Products + Licensing</t>
  </si>
  <si>
    <t>VCs: Data freshness</t>
  </si>
  <si>
    <t>Virtual Contributors: Q3 2024</t>
  </si>
  <si>
    <t>Flexible &amp; Templatable community roles</t>
  </si>
  <si>
    <t>Innovation Professional Support</t>
  </si>
  <si>
    <t>Maloe</t>
  </si>
  <si>
    <t>product</t>
  </si>
  <si>
    <t>Epic,Product Team</t>
  </si>
  <si>
    <t>Epic: Engaging Platform Library</t>
  </si>
  <si>
    <t>VC: Single user interaction</t>
  </si>
  <si>
    <t xml:space="preserve">VC: Service AI - community what has happened </t>
  </si>
  <si>
    <t>Bucket: VC improved functionality</t>
  </si>
  <si>
    <t>VC: Image generation</t>
  </si>
  <si>
    <t>VCs: Monitoring + operations</t>
  </si>
  <si>
    <t>VC: Expert engine space data retrieval + loading</t>
  </si>
  <si>
    <t>Elaborated</t>
  </si>
  <si>
    <t>VC: Controls on data sources</t>
  </si>
  <si>
    <t>Encryption at rest</t>
  </si>
  <si>
    <t>Client: time to first load</t>
  </si>
  <si>
    <t>Transforming static contributors/subspaces blocks into callouts</t>
  </si>
  <si>
    <t xml:space="preserve">Account management for Start pages </t>
  </si>
  <si>
    <t>Infrastructure: Maintainability Q2 2025</t>
  </si>
  <si>
    <t>Epic,QA,Product Discussion</t>
  </si>
  <si>
    <t>Test suite: VCs</t>
  </si>
  <si>
    <t>Space layout</t>
  </si>
  <si>
    <t>VC: Embeddings management</t>
  </si>
  <si>
    <t>VC: AI Server split from server</t>
  </si>
  <si>
    <t>VCs: Multiple context types</t>
  </si>
  <si>
    <t>Usage insights</t>
  </si>
  <si>
    <t>Carlos Cano,Neil Smyth</t>
  </si>
  <si>
    <t>Inviting an organization into a Space</t>
  </si>
  <si>
    <t>Memberships: consistency, organization</t>
  </si>
  <si>
    <t>Create your own Space: GA</t>
  </si>
  <si>
    <t>Bobby Kolev,Donna</t>
  </si>
  <si>
    <t>Monitoring: Q4 errors investigation</t>
  </si>
  <si>
    <t>Moving between levels: pro/de-moting (Sub)Spaces, moving callouts</t>
  </si>
  <si>
    <t>Epic,Product Team,Roadmap Discussion</t>
  </si>
  <si>
    <t>Account: Consistent settings per resource</t>
  </si>
  <si>
    <t>AI: Automated scope analysis for risk-based testing</t>
  </si>
  <si>
    <t>Visibility: clean, clear, and consistent</t>
  </si>
  <si>
    <t>Epic,QA</t>
  </si>
  <si>
    <t>QA Management Tooling + Plan</t>
  </si>
  <si>
    <t>Server: robustness + performance Q2 2025</t>
  </si>
  <si>
    <t>Release mgmt: Process + tooling</t>
  </si>
  <si>
    <t>Valentin Yanakiev,Svetoslav Petkov</t>
  </si>
  <si>
    <t>Reporting: Active usage monitoring</t>
  </si>
  <si>
    <t>Evgeni Dimitrov</t>
  </si>
  <si>
    <t>QA: Test Suites extensions Q4</t>
  </si>
  <si>
    <t>Authentication: Identity Management</t>
  </si>
  <si>
    <t>API usage performance / monitoring / audit trail</t>
  </si>
  <si>
    <t>Licensing: Visibility on account + enforcement on resource creation</t>
  </si>
  <si>
    <t>Licensing: Entitlement usage inside Spaces</t>
  </si>
  <si>
    <t>Whiteboards: Robustness + performance Q4</t>
  </si>
  <si>
    <t>Infrastructure: Maintainability</t>
  </si>
  <si>
    <t>Reporting: User flows</t>
  </si>
  <si>
    <t>Welcome site v3</t>
  </si>
  <si>
    <t>Resource controls: demo, searchability, hidden etc</t>
  </si>
  <si>
    <t>Forum: ready for release notes</t>
  </si>
  <si>
    <t>Epic,QA,Product Discussion,Rhea Team</t>
  </si>
  <si>
    <t>QA on multi-user collaboration on whiteboard</t>
  </si>
  <si>
    <t>Whiteboard: history</t>
  </si>
  <si>
    <t>Platform Administration</t>
  </si>
  <si>
    <t>Epic,Roadmap Discussion,Product Discussion</t>
  </si>
  <si>
    <t>Organizations: Flexibility/Less formal + Simplify Unverified profiles</t>
  </si>
  <si>
    <t>Organization profile: Clear &amp; fit for purpose</t>
  </si>
  <si>
    <t>Authorization Checking Service; cleanup</t>
  </si>
  <si>
    <t>Bucket: Server performance</t>
  </si>
  <si>
    <t>Icebox</t>
  </si>
  <si>
    <t>Collaboration templates</t>
  </si>
  <si>
    <t>2023-03-14</t>
  </si>
  <si>
    <t>server</t>
  </si>
  <si>
    <t>Epic,server</t>
  </si>
  <si>
    <t>Spaces with Subspaces</t>
  </si>
  <si>
    <t>Release mgmt: release notes + changelog</t>
  </si>
  <si>
    <t>Bucket: Whiteboards</t>
  </si>
  <si>
    <t>Activity Tracking: refresh of contributions monitoring</t>
  </si>
  <si>
    <t>Enhanced Sign up flow</t>
  </si>
  <si>
    <t>Homepage / Dashboard: Private workspace</t>
  </si>
  <si>
    <t>Storage: Improved handling of documents that are uploaded</t>
  </si>
  <si>
    <t>Managing the user-organization + org roles relationship</t>
  </si>
  <si>
    <t>Config mgmt: Helm deployments for k8s</t>
  </si>
  <si>
    <t>Search: Add forum, and help content to the search results</t>
  </si>
  <si>
    <t>Search: Smart</t>
  </si>
  <si>
    <t>Epic,server,Security</t>
  </si>
  <si>
    <t>Development versions refresh</t>
  </si>
  <si>
    <t>Experience for unauthorized users</t>
  </si>
  <si>
    <t>Community Terms: phase 2</t>
  </si>
  <si>
    <t>Digicampus, Humanity Hub, The Hague</t>
  </si>
  <si>
    <t>Journey settings: challenge, community membership policy</t>
  </si>
  <si>
    <t>Private sub-subspace</t>
  </si>
  <si>
    <t>Community Invitations: Allowing inviting many (external) users at once</t>
  </si>
  <si>
    <t>VNG, Data Autonomy</t>
  </si>
  <si>
    <t>InnovationHubs without networking updates</t>
  </si>
  <si>
    <t>Custom Homepage (former Innovation Hubs)</t>
  </si>
  <si>
    <t>client-web</t>
  </si>
  <si>
    <t>epic,client</t>
  </si>
  <si>
    <t>Client: Developer documentation, roadmap</t>
  </si>
  <si>
    <t>Dev env optimisation, incl InnovationHubs locally</t>
  </si>
  <si>
    <t>Smart Analytics to understand community needs/interests</t>
  </si>
  <si>
    <t>Quota / resource management: Documents</t>
  </si>
  <si>
    <t>Digicampus</t>
  </si>
  <si>
    <t>Refresh Contributors page</t>
  </si>
  <si>
    <t>Contributor visibility</t>
  </si>
  <si>
    <t>Epic,Infrastructure</t>
  </si>
  <si>
    <t>User controls on data visibility</t>
  </si>
  <si>
    <t>Bucket: Content editing improvements</t>
  </si>
  <si>
    <t>Welcome dialog for new members of a Journey</t>
  </si>
  <si>
    <t>Bucket: Enhancing UX: Reducing Clicks and Scrolling</t>
  </si>
  <si>
    <t>Bucket: Enhancing UX: Guidance in current functionality</t>
  </si>
  <si>
    <t>Bucket: Forum improvements</t>
  </si>
  <si>
    <t>Bucket: Enhancing UX: Streamlining User Interaction with Existing Functionality</t>
  </si>
  <si>
    <t>Epic,Product Team,client</t>
  </si>
  <si>
    <t>UX: Sorting control on the client</t>
  </si>
  <si>
    <t>Bucket: Journey membership UX improvements</t>
  </si>
  <si>
    <t>Bucket: User login / membership improvements</t>
  </si>
  <si>
    <t>Reporting: geolocation, sign ups</t>
  </si>
  <si>
    <t>Knowledge: Suggested best practice templates</t>
  </si>
  <si>
    <t>Activity: Auditing for admins</t>
  </si>
  <si>
    <t>Bucket: Guidance: Improvements</t>
  </si>
  <si>
    <t>Choral Explanations</t>
  </si>
  <si>
    <t>Callouts: additional contribution types</t>
  </si>
  <si>
    <t>TIP</t>
  </si>
  <si>
    <t>Smoothly joining a community</t>
  </si>
  <si>
    <t>Sharing metrics of Space activity with leads</t>
  </si>
  <si>
    <t>Svetoslav Petkov,user</t>
  </si>
  <si>
    <t>Reporting: (automated) sharing of reports , read only access</t>
  </si>
  <si>
    <t>Epic,Roadmap Candidate</t>
  </si>
  <si>
    <t>2024-06-18</t>
  </si>
  <si>
    <t>Activity tracking: deletion</t>
  </si>
  <si>
    <t>Challenge/Opportunity refresh</t>
  </si>
  <si>
    <t>Bucket: Innovation Library Management, InnovationPack extensions</t>
  </si>
  <si>
    <t>Epic,A: Platform</t>
  </si>
  <si>
    <t>Innovation Hubs: Rounding out Functionality</t>
  </si>
  <si>
    <t>Epic,Product Team,A: Platform</t>
  </si>
  <si>
    <t>Branding at platform level</t>
  </si>
  <si>
    <t>Operations: Kratos Administration</t>
  </si>
  <si>
    <t>Multiple Language Support</t>
  </si>
  <si>
    <t>Technical debt: Tags/Innovation flow template functionality redesign</t>
  </si>
  <si>
    <t>InnovationFlow: Creation + management</t>
  </si>
  <si>
    <t>Performance + scalability testing</t>
  </si>
  <si>
    <t>Search results validated in service</t>
  </si>
  <si>
    <t>Epic,Product Team,Product Discussion</t>
  </si>
  <si>
    <t>Innovation Flow: Definition to include goal/checklist/callouts</t>
  </si>
  <si>
    <t>security,Epic</t>
  </si>
  <si>
    <t>Security: Secret management</t>
  </si>
  <si>
    <t>Integration of other online tools</t>
  </si>
  <si>
    <t>Space Visualization component</t>
  </si>
  <si>
    <t>Sharing: social media</t>
  </si>
  <si>
    <t>Security: Control of provider per organization</t>
  </si>
  <si>
    <t>Ecosystem Analytics: prototype</t>
  </si>
  <si>
    <t>Connectivity Graph</t>
  </si>
  <si>
    <t>Search in Contribute page</t>
  </si>
  <si>
    <t>Innovation Flow: Lifecycles v2</t>
  </si>
  <si>
    <t>René Honig,Valentin Yanakiev</t>
  </si>
  <si>
    <t>Security: Kubernetes hardening</t>
  </si>
  <si>
    <t>Operational security analysis</t>
  </si>
  <si>
    <t>Handling of Time</t>
  </si>
  <si>
    <t>Error Handling: Presentation improvements</t>
  </si>
  <si>
    <t>hub</t>
  </si>
  <si>
    <t>Epic,operations</t>
  </si>
  <si>
    <t>Security: Client code execution / injection</t>
  </si>
  <si>
    <t>Epic,A: Community,Roadmap Discussion</t>
  </si>
  <si>
    <t>Improved signup flow: Newsletter registration, GDPR, ..</t>
  </si>
  <si>
    <t>User Engagement with the platform</t>
  </si>
  <si>
    <t>Epic,Security</t>
  </si>
  <si>
    <t>Security headers hardening</t>
  </si>
  <si>
    <t>Visuals on Journeys: Enhanced selection + suggested images</t>
  </si>
  <si>
    <t>Client component library in Figma</t>
  </si>
  <si>
    <t>Search: richer data</t>
  </si>
  <si>
    <t>My Dashboard: live</t>
  </si>
  <si>
    <t>Licensing: Payment flows (Wingback), upgrade</t>
  </si>
  <si>
    <t xml:space="preserve">Simpler URLs </t>
  </si>
  <si>
    <t>Licensing: Runtime enforcement</t>
  </si>
  <si>
    <t>Account Mgmt v2: bucket (orgs, verification. ...)</t>
  </si>
  <si>
    <t>Inviting people for platform role</t>
  </si>
  <si>
    <t>Using Temporary Storage</t>
  </si>
  <si>
    <t>Storage management</t>
  </si>
  <si>
    <t>Authorization: acting on behalf of</t>
  </si>
  <si>
    <t>Initiative</t>
  </si>
  <si>
    <t>I: Analytics via connectivity graph v1</t>
  </si>
  <si>
    <t>I: Maintainability</t>
  </si>
  <si>
    <t>I: Journey structure refresh</t>
  </si>
  <si>
    <t xml:space="preserve">Innovation library - Agreements </t>
  </si>
  <si>
    <t>I: Onboarding the community</t>
  </si>
  <si>
    <t>I: Innovation Hubs</t>
  </si>
  <si>
    <t>I: Platform responsiveness</t>
  </si>
  <si>
    <t>I: Guidance for users</t>
  </si>
  <si>
    <t>I: Platform Management</t>
  </si>
  <si>
    <t>I: Accessibility</t>
  </si>
  <si>
    <t>I: Content + Knowledge Management</t>
  </si>
  <si>
    <t>I: Notifications</t>
  </si>
  <si>
    <t>I: Library population, usage + feedback</t>
  </si>
  <si>
    <t>Content on the platform</t>
  </si>
  <si>
    <t>I: Innovation Library</t>
  </si>
  <si>
    <t>I: Enriched User Profiles</t>
  </si>
  <si>
    <t>I: Smart search</t>
  </si>
  <si>
    <t>test-suites</t>
  </si>
  <si>
    <t>Reporting: access, other features requiring license</t>
  </si>
  <si>
    <t xml:space="preserve">I: RT Whiteboard </t>
  </si>
  <si>
    <t>Specify the email sender for community notification emails</t>
  </si>
  <si>
    <t>Membership models</t>
  </si>
  <si>
    <t>Hide / turn functionalities off</t>
  </si>
  <si>
    <t>Release mgmt: optimization</t>
  </si>
  <si>
    <t>Compliance: Tracking + cookie handling on client</t>
  </si>
  <si>
    <t>Data integrity v3</t>
  </si>
  <si>
    <t>Search: smart tags</t>
  </si>
  <si>
    <t>Subscriptions: Payments infrastructure</t>
  </si>
  <si>
    <t>Bucket: Engaging User Profiles / Profiles per community</t>
  </si>
  <si>
    <t>Whiteboards to generate content</t>
  </si>
  <si>
    <t>Whiteboard to generate content</t>
  </si>
  <si>
    <t>Linking contributions</t>
  </si>
  <si>
    <t>QA: Test suites expanded</t>
  </si>
  <si>
    <t>Test Suites Tech Debt</t>
  </si>
  <si>
    <t>Domain model: refinements</t>
  </si>
  <si>
    <t>Static Code analysis: replacement for BCH</t>
  </si>
  <si>
    <t>QA: Client Test Suites setup</t>
  </si>
  <si>
    <t>QA: Test suite user authentication flows</t>
  </si>
  <si>
    <t>Server: Code clean up / optimization</t>
  </si>
  <si>
    <t>Domain: ActorGroups ==&gt; Actors with Tags</t>
  </si>
  <si>
    <t>Dev Tooling: Migrate to Yarn</t>
  </si>
  <si>
    <t>api: roadmap + design</t>
  </si>
  <si>
    <t>api: enhanced documentation</t>
  </si>
  <si>
    <t>Reporting: configuration management + deployment</t>
  </si>
  <si>
    <t>Emails associated with a user</t>
  </si>
  <si>
    <t>LinkedIn: connected accounts + usage for populating Alkemio profiles + messages</t>
  </si>
  <si>
    <t>Organizations: Signed up versus profiles</t>
  </si>
  <si>
    <t>Bucket: Enhancing UX: Visual improvements</t>
  </si>
  <si>
    <t>Platform visibility Collaboration professionals</t>
  </si>
  <si>
    <t>Simple versions of Alkemio</t>
  </si>
  <si>
    <t>Acc environment on demand</t>
  </si>
  <si>
    <t>Vulnerability scanning</t>
  </si>
  <si>
    <t>Governance: Security Audit + fixes</t>
  </si>
  <si>
    <t>Database: Robust deletions</t>
  </si>
  <si>
    <t>Epic,user story,server</t>
  </si>
  <si>
    <t>ORM Mapping Layer optimisation</t>
  </si>
  <si>
    <t>QA: Test Suites maintainability</t>
  </si>
  <si>
    <t>Subscriptions: Test framework + initial limited test suite</t>
  </si>
  <si>
    <t>QA: Expand set of server API E2E tests</t>
  </si>
  <si>
    <t>Caching at the cluster level</t>
  </si>
  <si>
    <t>Search UI Tests</t>
  </si>
  <si>
    <t>System test plan tracking</t>
  </si>
  <si>
    <t>notifications</t>
  </si>
  <si>
    <t>Notifications: configuration management flexibility</t>
  </si>
  <si>
    <t>Chat Guidance: Multiple sessions</t>
  </si>
  <si>
    <t>Upgrading/Downgrading Space license</t>
  </si>
  <si>
    <t>Transparency on Space settings/library/etc for Space members</t>
  </si>
  <si>
    <t>Policy Updates</t>
  </si>
  <si>
    <t>Invitations / applications: polishing</t>
  </si>
  <si>
    <t>User verification flow</t>
  </si>
  <si>
    <t>Cluster Health Monitoring Dashboards</t>
  </si>
  <si>
    <t>Bucket: VC improving the answers/response</t>
  </si>
  <si>
    <t>Stability: Client error tracing + reproduction</t>
  </si>
  <si>
    <t>Performance Test Suite for api</t>
  </si>
  <si>
    <t>Act as...</t>
  </si>
  <si>
    <t>Bucket: Open Source Integrations</t>
  </si>
  <si>
    <t>Consistency in notifications for interaction in a space</t>
  </si>
  <si>
    <t>Onboarding new Space members - after sign-up flow</t>
  </si>
  <si>
    <t>VS: Meta information on knowledge base</t>
  </si>
  <si>
    <t>Enhance Tag Management and Usability</t>
  </si>
  <si>
    <t>New Callout type (partner preference)</t>
  </si>
  <si>
    <t xml:space="preserve"> Reporting: additional details</t>
  </si>
  <si>
    <t>Client Optimization: Optimizing Assets: images</t>
  </si>
  <si>
    <t>Client Optimization: Optimizing Assets: Serve static files/CDN</t>
  </si>
  <si>
    <t>Client Optimization: Optimizing code execution</t>
  </si>
  <si>
    <t>Client Optimization: Server Calls</t>
  </si>
  <si>
    <t>Epic,A: Community</t>
  </si>
  <si>
    <t>Open Badges support</t>
  </si>
  <si>
    <t xml:space="preserve">Bucket: User Documentation </t>
  </si>
  <si>
    <t>Space language</t>
  </si>
  <si>
    <t>Polis</t>
  </si>
  <si>
    <t>Privacy/GDPR: user control on visibility</t>
  </si>
  <si>
    <t>Dutch website + documentation</t>
  </si>
  <si>
    <t>Transfer of Callouts between spaces</t>
  </si>
  <si>
    <t>Inviting users to organization</t>
  </si>
  <si>
    <t>3rd party upgrade Q1+2 2025</t>
  </si>
  <si>
    <t>Notifications: Bucket tidy up</t>
  </si>
  <si>
    <t>Bucket: Innovation flows</t>
  </si>
  <si>
    <t>VC: Work product output</t>
  </si>
  <si>
    <t>VC: Workproduct input</t>
  </si>
  <si>
    <t>Onboarding flow: polishing</t>
  </si>
  <si>
    <t>Butcket: UX around a release</t>
  </si>
  <si>
    <t>New Callout Types</t>
  </si>
  <si>
    <t>Bucket: OS/Browser version issues (to keep track)</t>
  </si>
  <si>
    <t>Matrix: Interaction with rooms outside directly</t>
  </si>
  <si>
    <t>Infrastructure Cost optimization</t>
  </si>
  <si>
    <t>Memo: Commenting &amp; other Refinements</t>
  </si>
  <si>
    <t>Basic usage supported on mobile</t>
  </si>
  <si>
    <t>Richer and visible interactions in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</si>
</sst>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workbookViewId="0">
      <selection sqref="A1:D1"/>
    </sheetView>
  </sheetViews>
  <sheetFormatPr defaultRowHeight="14.25" x14ac:dyDescent="0.5"/>
  <sheetData>
    <row r="1" spans="1:13" ht="15.75" x14ac:dyDescent="0.5">
      <c r="A1" s="1" t="s">
        <v>0</v>
      </c>
      <c r="B1" s="1"/>
      <c r="C1" s="1"/>
      <c r="D1" s="1"/>
    </row>
    <row r="2" spans="1:13" ht="15.75" x14ac:dyDescent="0.5">
      <c r="A2" s="1" t="s">
        <v>1</v>
      </c>
      <c r="B2" s="1"/>
      <c r="C2" s="1"/>
      <c r="D2" s="1"/>
    </row>
    <row r="4" spans="1:13" ht="15.75" x14ac:dyDescent="0.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t="s">
        <v>11</v>
      </c>
    </row>
    <row r="5" spans="1:13" ht="15.75" x14ac:dyDescent="0.5">
      <c r="A5" s="1"/>
      <c r="B5" s="1"/>
      <c r="C5" s="1"/>
      <c r="D5" s="1"/>
      <c r="E5" s="1"/>
      <c r="F5" s="1"/>
      <c r="G5" s="1"/>
      <c r="H5" s="1"/>
      <c r="I5" s="1"/>
    </row>
    <row r="6" spans="1:13" ht="15.75" x14ac:dyDescent="0.5">
      <c r="A6" t="s">
        <v>12</v>
      </c>
      <c r="B6">
        <v>44928</v>
      </c>
      <c r="C6">
        <v>45012</v>
      </c>
      <c r="D6">
        <v>0.8</v>
      </c>
      <c r="E6">
        <f t="shared" ref="E6:E12" si="0">(C6-B6)/7/2</f>
        <v>6</v>
      </c>
      <c r="F6">
        <v>6</v>
      </c>
      <c r="G6">
        <f t="shared" ref="G6:G12" si="1">E6-F6</f>
        <v>0</v>
      </c>
      <c r="H6">
        <v>200</v>
      </c>
      <c r="I6">
        <f t="shared" ref="I6:I12" si="2">H6*G6*D6</f>
        <v>0</v>
      </c>
    </row>
    <row r="7" spans="1:13" ht="15.75" x14ac:dyDescent="0.5">
      <c r="A7" t="s">
        <v>13</v>
      </c>
      <c r="B7">
        <f t="shared" ref="B7:B12" si="3">C6</f>
        <v>45012</v>
      </c>
      <c r="C7">
        <v>45096</v>
      </c>
      <c r="D7">
        <v>0.8</v>
      </c>
      <c r="E7">
        <f t="shared" si="0"/>
        <v>6</v>
      </c>
      <c r="F7">
        <v>6</v>
      </c>
      <c r="G7">
        <f t="shared" si="1"/>
        <v>0</v>
      </c>
      <c r="H7">
        <v>200</v>
      </c>
      <c r="I7">
        <f t="shared" si="2"/>
        <v>0</v>
      </c>
      <c r="M7" t="s">
        <v>14</v>
      </c>
    </row>
    <row r="8" spans="1:13" ht="15.75" x14ac:dyDescent="0.5">
      <c r="A8" t="s">
        <v>15</v>
      </c>
      <c r="B8">
        <f t="shared" si="3"/>
        <v>45096</v>
      </c>
      <c r="C8">
        <v>45194</v>
      </c>
      <c r="D8">
        <v>0.6</v>
      </c>
      <c r="E8">
        <f t="shared" si="0"/>
        <v>7</v>
      </c>
      <c r="F8">
        <v>5.5</v>
      </c>
      <c r="G8">
        <f t="shared" si="1"/>
        <v>1.5</v>
      </c>
      <c r="H8">
        <v>200</v>
      </c>
      <c r="I8">
        <f t="shared" si="2"/>
        <v>180</v>
      </c>
    </row>
    <row r="9" spans="1:13" ht="15.75" x14ac:dyDescent="0.5">
      <c r="A9" t="s">
        <v>16</v>
      </c>
      <c r="B9">
        <f t="shared" si="3"/>
        <v>45194</v>
      </c>
      <c r="C9">
        <v>45292</v>
      </c>
      <c r="D9">
        <v>0.5</v>
      </c>
      <c r="E9">
        <f t="shared" si="0"/>
        <v>7</v>
      </c>
      <c r="F9">
        <v>0.5</v>
      </c>
      <c r="G9">
        <f t="shared" si="1"/>
        <v>6.5</v>
      </c>
      <c r="H9">
        <v>200</v>
      </c>
      <c r="I9">
        <f t="shared" si="2"/>
        <v>650</v>
      </c>
    </row>
    <row r="10" spans="1:13" ht="15.75" x14ac:dyDescent="0.5">
      <c r="A10" t="s">
        <v>17</v>
      </c>
      <c r="B10">
        <f t="shared" si="3"/>
        <v>45292</v>
      </c>
      <c r="C10">
        <v>45383</v>
      </c>
      <c r="D10">
        <v>0.5</v>
      </c>
      <c r="E10">
        <f t="shared" si="0"/>
        <v>6.5</v>
      </c>
      <c r="F10">
        <v>0.5</v>
      </c>
      <c r="G10">
        <f t="shared" si="1"/>
        <v>6</v>
      </c>
      <c r="H10">
        <v>200</v>
      </c>
      <c r="I10">
        <f t="shared" si="2"/>
        <v>600</v>
      </c>
    </row>
    <row r="11" spans="1:13" ht="15.75" x14ac:dyDescent="0.5">
      <c r="A11" t="s">
        <v>18</v>
      </c>
      <c r="B11">
        <f t="shared" si="3"/>
        <v>45383</v>
      </c>
      <c r="C11">
        <v>45474</v>
      </c>
      <c r="D11">
        <v>0.5</v>
      </c>
      <c r="E11">
        <f t="shared" si="0"/>
        <v>6.5</v>
      </c>
      <c r="F11">
        <v>0.5</v>
      </c>
      <c r="G11">
        <f t="shared" si="1"/>
        <v>6</v>
      </c>
      <c r="H11">
        <v>200</v>
      </c>
      <c r="I11">
        <f t="shared" si="2"/>
        <v>600</v>
      </c>
    </row>
    <row r="12" spans="1:13" ht="15.75" x14ac:dyDescent="0.5">
      <c r="A12" t="s">
        <v>19</v>
      </c>
      <c r="B12">
        <f t="shared" si="3"/>
        <v>45474</v>
      </c>
      <c r="C12">
        <v>45657</v>
      </c>
      <c r="D12">
        <v>0.5</v>
      </c>
      <c r="E12">
        <f t="shared" si="0"/>
        <v>13.071428571428571</v>
      </c>
      <c r="G12">
        <f t="shared" si="1"/>
        <v>13.071428571428571</v>
      </c>
      <c r="H12">
        <v>200</v>
      </c>
      <c r="I12">
        <f t="shared" si="2"/>
        <v>1307.1428571428571</v>
      </c>
    </row>
  </sheetData>
  <mergeCells count="11">
    <mergeCell ref="H4:H5"/>
    <mergeCell ref="I4:I5"/>
    <mergeCell ref="A1:D1"/>
    <mergeCell ref="A2:D2"/>
    <mergeCell ref="A4:A5"/>
    <mergeCell ref="C4:C5"/>
    <mergeCell ref="D4:D5"/>
    <mergeCell ref="E4:E5"/>
    <mergeCell ref="B4:B5"/>
    <mergeCell ref="F4:F5"/>
    <mergeCell ref="G4:G5"/>
  </mergeCells>
  <pageMargins left="0.7" right="0.7" top="0.75" bottom="0.75" header="0.511811023622047" footer="0.511811023622047"/>
  <ignoredErrors>
    <ignoredError sqref="A1:M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M11"/>
  <sheetViews>
    <sheetView workbookViewId="0"/>
  </sheetViews>
  <sheetFormatPr defaultRowHeight="14.25" x14ac:dyDescent="0.5"/>
  <sheetData>
    <row r="4" spans="1:13" ht="15.75" x14ac:dyDescent="0.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</row>
    <row r="5" spans="1:13" ht="15.75" x14ac:dyDescent="0.5">
      <c r="A5" t="s">
        <v>12</v>
      </c>
      <c r="B5">
        <f t="shared" ref="B5:B11" si="0">SUMIFS(EPICS_ESTIMATE, EPICS_PERIOD, $A5, EPICS_STATUS, "&lt;&gt;Done")</f>
        <v>0</v>
      </c>
      <c r="C5">
        <f>Parameters!I6</f>
        <v>0</v>
      </c>
      <c r="D5">
        <f t="shared" ref="D5:D11" si="1">SUMIFS(EPICS_ESTIMATE, EPICS_PERIOD, $A5, EPICS_STATUS, "Done")</f>
        <v>0</v>
      </c>
      <c r="E5" t="e">
        <f>SUM(#REF!, #REF!)</f>
        <v>#REF!</v>
      </c>
      <c r="F5">
        <f t="shared" ref="F5:L8" si="2">SUMIFS(EPICS_ESTIMATE, EPICS_PERIOD, $A5, EPICS_TYPE, F$4)</f>
        <v>0</v>
      </c>
      <c r="G5">
        <f t="shared" si="2"/>
        <v>0</v>
      </c>
      <c r="H5">
        <f t="shared" si="2"/>
        <v>0</v>
      </c>
      <c r="I5">
        <f t="shared" si="2"/>
        <v>0</v>
      </c>
      <c r="J5">
        <f t="shared" si="2"/>
        <v>0</v>
      </c>
      <c r="K5">
        <f t="shared" si="2"/>
        <v>0</v>
      </c>
      <c r="L5">
        <f t="shared" si="2"/>
        <v>0</v>
      </c>
      <c r="M5" t="e">
        <f>#REF!-SUM(F5:L5)</f>
        <v>#REF!</v>
      </c>
    </row>
    <row r="6" spans="1:13" ht="15.75" x14ac:dyDescent="0.5">
      <c r="A6" t="s">
        <v>13</v>
      </c>
      <c r="B6">
        <f t="shared" si="0"/>
        <v>0</v>
      </c>
      <c r="C6">
        <f>Parameters!I7</f>
        <v>0</v>
      </c>
      <c r="D6">
        <f t="shared" si="1"/>
        <v>0</v>
      </c>
      <c r="E6" t="e">
        <f>SUM(#REF!, #REF!)</f>
        <v>#REF!</v>
      </c>
      <c r="F6">
        <f t="shared" si="2"/>
        <v>0</v>
      </c>
      <c r="G6">
        <f t="shared" si="2"/>
        <v>0</v>
      </c>
      <c r="H6">
        <f t="shared" si="2"/>
        <v>0</v>
      </c>
      <c r="I6">
        <f t="shared" si="2"/>
        <v>0</v>
      </c>
      <c r="J6">
        <f t="shared" si="2"/>
        <v>0</v>
      </c>
      <c r="K6">
        <f t="shared" si="2"/>
        <v>0</v>
      </c>
      <c r="L6">
        <f t="shared" si="2"/>
        <v>0</v>
      </c>
      <c r="M6" t="e">
        <f>#REF!-SUM(F6:L6)</f>
        <v>#REF!</v>
      </c>
    </row>
    <row r="7" spans="1:13" ht="15.75" x14ac:dyDescent="0.5">
      <c r="A7" t="str">
        <f>Parameters!A8</f>
        <v>2023 Q3</v>
      </c>
      <c r="B7">
        <f t="shared" si="0"/>
        <v>0</v>
      </c>
      <c r="C7">
        <f>Parameters!I8</f>
        <v>180</v>
      </c>
      <c r="D7">
        <f t="shared" si="1"/>
        <v>0</v>
      </c>
      <c r="E7" t="e">
        <f>SUM(#REF!, #REF!)</f>
        <v>#REF!</v>
      </c>
      <c r="F7">
        <f t="shared" si="2"/>
        <v>0</v>
      </c>
      <c r="G7">
        <f t="shared" si="2"/>
        <v>0</v>
      </c>
      <c r="H7">
        <f t="shared" si="2"/>
        <v>0</v>
      </c>
      <c r="I7">
        <f t="shared" si="2"/>
        <v>0</v>
      </c>
      <c r="J7">
        <f t="shared" si="2"/>
        <v>0</v>
      </c>
      <c r="K7">
        <f t="shared" si="2"/>
        <v>0</v>
      </c>
      <c r="L7">
        <f t="shared" si="2"/>
        <v>0</v>
      </c>
      <c r="M7" t="e">
        <f>#REF!-SUM(F7:L7)</f>
        <v>#REF!</v>
      </c>
    </row>
    <row r="8" spans="1:13" ht="15.75" x14ac:dyDescent="0.5">
      <c r="A8" t="str">
        <f>Parameters!A9</f>
        <v>2023 Q4</v>
      </c>
      <c r="B8">
        <f t="shared" si="0"/>
        <v>0</v>
      </c>
      <c r="C8">
        <f>Parameters!I9</f>
        <v>650</v>
      </c>
      <c r="D8">
        <f t="shared" si="1"/>
        <v>0</v>
      </c>
      <c r="E8" t="e">
        <f>SUM(#REF!, #REF!)</f>
        <v>#REF!</v>
      </c>
      <c r="F8">
        <f t="shared" si="2"/>
        <v>0</v>
      </c>
      <c r="G8">
        <f t="shared" si="2"/>
        <v>0</v>
      </c>
      <c r="H8">
        <f t="shared" si="2"/>
        <v>0</v>
      </c>
      <c r="I8">
        <f t="shared" si="2"/>
        <v>0</v>
      </c>
      <c r="J8">
        <f t="shared" si="2"/>
        <v>0</v>
      </c>
      <c r="K8">
        <f t="shared" si="2"/>
        <v>0</v>
      </c>
      <c r="L8">
        <f t="shared" si="2"/>
        <v>0</v>
      </c>
      <c r="M8" t="e">
        <f>#REF!-SUM(F8:L8)</f>
        <v>#REF!</v>
      </c>
    </row>
    <row r="9" spans="1:13" ht="15.75" x14ac:dyDescent="0.5">
      <c r="A9" t="s">
        <v>17</v>
      </c>
      <c r="B9">
        <f t="shared" si="0"/>
        <v>0</v>
      </c>
      <c r="C9">
        <f>Parameters!I10</f>
        <v>600</v>
      </c>
      <c r="D9">
        <f t="shared" si="1"/>
        <v>0</v>
      </c>
      <c r="E9" t="e">
        <f>SUM(#REF!, #REF!)</f>
        <v>#REF!</v>
      </c>
      <c r="F9">
        <f>SUMIFS(EPICS_ESTIMATE, EPICS_PERIOD, $A9, EPICS_TYPE, F$4)</f>
        <v>0</v>
      </c>
      <c r="G9">
        <f t="shared" ref="G9:L11" si="3">SUMIFS(EPICS_ESTIMATE, EPICS_PERIOD, $A9, EPICS_TYPE, G$4, EPICS_STATUS, "&lt;&gt;Done")</f>
        <v>0</v>
      </c>
      <c r="H9">
        <f t="shared" si="3"/>
        <v>0</v>
      </c>
      <c r="I9">
        <f t="shared" si="3"/>
        <v>0</v>
      </c>
      <c r="J9">
        <f t="shared" si="3"/>
        <v>0</v>
      </c>
      <c r="K9">
        <f t="shared" si="3"/>
        <v>0</v>
      </c>
      <c r="L9">
        <f t="shared" si="3"/>
        <v>0</v>
      </c>
      <c r="M9" t="e">
        <f>#REF!-SUM(F9:L9)</f>
        <v>#REF!</v>
      </c>
    </row>
    <row r="10" spans="1:13" ht="15.75" x14ac:dyDescent="0.5">
      <c r="A10" t="s">
        <v>18</v>
      </c>
      <c r="B10">
        <f t="shared" si="0"/>
        <v>0</v>
      </c>
      <c r="C10">
        <f>Parameters!I10</f>
        <v>600</v>
      </c>
      <c r="D10">
        <f t="shared" si="1"/>
        <v>0</v>
      </c>
      <c r="E10" t="e">
        <f>SUM(#REF!, #REF!)</f>
        <v>#REF!</v>
      </c>
      <c r="F10">
        <f>SUMIFS(EPICS_ESTIMATE, EPICS_PERIOD, $A10, EPICS_TYPE, F$4)</f>
        <v>0</v>
      </c>
      <c r="G10">
        <f t="shared" si="3"/>
        <v>0</v>
      </c>
      <c r="H10">
        <f t="shared" si="3"/>
        <v>0</v>
      </c>
      <c r="I10">
        <f t="shared" si="3"/>
        <v>0</v>
      </c>
      <c r="J10">
        <f t="shared" si="3"/>
        <v>0</v>
      </c>
      <c r="K10">
        <f t="shared" si="3"/>
        <v>0</v>
      </c>
      <c r="L10">
        <f t="shared" si="3"/>
        <v>0</v>
      </c>
      <c r="M10" t="e">
        <f>#REF!-SUM(F10:L10)</f>
        <v>#REF!</v>
      </c>
    </row>
    <row r="11" spans="1:13" ht="15.75" x14ac:dyDescent="0.5">
      <c r="A11" t="str">
        <f>Parameters!A12</f>
        <v>2024 H2</v>
      </c>
      <c r="B11">
        <f t="shared" si="0"/>
        <v>0</v>
      </c>
      <c r="C11">
        <f>Parameters!I12</f>
        <v>1307.1428571428571</v>
      </c>
      <c r="D11">
        <f t="shared" si="1"/>
        <v>0</v>
      </c>
      <c r="E11" t="e">
        <f>SUM(#REF!, #REF!)</f>
        <v>#REF!</v>
      </c>
      <c r="F11">
        <f>SUMIFS(EPICS_ESTIMATE, EPICS_PERIOD, $A11, EPICS_TYPE, F$4)</f>
        <v>0</v>
      </c>
      <c r="G11">
        <f t="shared" si="3"/>
        <v>0</v>
      </c>
      <c r="H11">
        <f t="shared" si="3"/>
        <v>0</v>
      </c>
      <c r="I11">
        <f t="shared" si="3"/>
        <v>0</v>
      </c>
      <c r="J11">
        <f t="shared" si="3"/>
        <v>0</v>
      </c>
      <c r="K11">
        <f t="shared" si="3"/>
        <v>0</v>
      </c>
      <c r="L11">
        <f t="shared" si="3"/>
        <v>0</v>
      </c>
      <c r="M11" t="e">
        <f>#REF!-SUM(F11:L11)</f>
        <v>#REF!</v>
      </c>
    </row>
  </sheetData>
  <pageMargins left="0.7" right="0.7" top="0.75" bottom="0.75" header="0.511811023622047" footer="0.511811023622047"/>
  <ignoredErrors>
    <ignoredError sqref="A4:M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0"/>
  <sheetViews>
    <sheetView tabSelected="1" topLeftCell="D1" workbookViewId="0">
      <selection activeCell="D11" sqref="D11"/>
    </sheetView>
  </sheetViews>
  <sheetFormatPr defaultRowHeight="14.25" x14ac:dyDescent="0.5"/>
  <cols>
    <col min="1" max="1" width="40" customWidth="1"/>
    <col min="2" max="2" width="25" customWidth="1"/>
    <col min="3" max="3" width="50" customWidth="1"/>
    <col min="4" max="4" width="94" customWidth="1"/>
    <col min="5" max="5" width="16" customWidth="1"/>
    <col min="6" max="6" width="10" customWidth="1"/>
    <col min="7" max="7" width="45" customWidth="1"/>
    <col min="8" max="8" width="7" customWidth="1"/>
    <col min="9" max="9" width="10" customWidth="1"/>
    <col min="10" max="10" width="35" customWidth="1"/>
    <col min="11" max="11" width="10" customWidth="1"/>
  </cols>
  <sheetData>
    <row r="1" spans="1:12" ht="15.75" x14ac:dyDescent="0.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39</v>
      </c>
    </row>
    <row r="2" spans="1:12" ht="15.75" x14ac:dyDescent="0.5">
      <c r="B2" t="s">
        <v>45</v>
      </c>
      <c r="C2" t="s">
        <v>46</v>
      </c>
      <c r="D2" t="s">
        <v>98</v>
      </c>
      <c r="E2" t="s">
        <v>99</v>
      </c>
    </row>
    <row r="3" spans="1:12" ht="15.75" x14ac:dyDescent="0.5">
      <c r="B3" t="s">
        <v>45</v>
      </c>
      <c r="C3" t="s">
        <v>46</v>
      </c>
      <c r="D3" t="s">
        <v>105</v>
      </c>
      <c r="E3" t="s">
        <v>99</v>
      </c>
      <c r="F3" t="s">
        <v>71</v>
      </c>
    </row>
    <row r="4" spans="1:12" ht="15.75" x14ac:dyDescent="0.5">
      <c r="A4" t="s">
        <v>171</v>
      </c>
      <c r="B4" t="s">
        <v>45</v>
      </c>
      <c r="C4" t="s">
        <v>165</v>
      </c>
      <c r="D4" t="s">
        <v>172</v>
      </c>
      <c r="E4" t="s">
        <v>99</v>
      </c>
      <c r="G4" t="s">
        <v>57</v>
      </c>
      <c r="H4" t="s">
        <v>68</v>
      </c>
    </row>
    <row r="5" spans="1:12" ht="15.75" x14ac:dyDescent="0.5">
      <c r="B5" t="s">
        <v>45</v>
      </c>
      <c r="C5" t="s">
        <v>46</v>
      </c>
      <c r="D5" t="s">
        <v>177</v>
      </c>
      <c r="E5" t="s">
        <v>99</v>
      </c>
      <c r="G5" t="s">
        <v>57</v>
      </c>
    </row>
    <row r="6" spans="1:12" ht="15.75" x14ac:dyDescent="0.5">
      <c r="B6" t="s">
        <v>45</v>
      </c>
      <c r="C6" t="s">
        <v>183</v>
      </c>
      <c r="D6" t="s">
        <v>184</v>
      </c>
      <c r="E6" t="s">
        <v>99</v>
      </c>
      <c r="F6" t="s">
        <v>71</v>
      </c>
      <c r="G6" t="s">
        <v>57</v>
      </c>
      <c r="H6" t="s">
        <v>18</v>
      </c>
      <c r="K6">
        <v>13</v>
      </c>
    </row>
    <row r="7" spans="1:12" ht="15.75" x14ac:dyDescent="0.5">
      <c r="A7" t="s">
        <v>249</v>
      </c>
      <c r="B7" t="s">
        <v>45</v>
      </c>
      <c r="C7" t="s">
        <v>46</v>
      </c>
      <c r="D7" t="s">
        <v>250</v>
      </c>
      <c r="E7" t="s">
        <v>99</v>
      </c>
      <c r="H7" t="s">
        <v>18</v>
      </c>
      <c r="I7">
        <v>20</v>
      </c>
    </row>
    <row r="8" spans="1:12" ht="15.75" x14ac:dyDescent="0.5">
      <c r="B8" t="s">
        <v>45</v>
      </c>
      <c r="C8" t="s">
        <v>251</v>
      </c>
      <c r="D8" t="s">
        <v>292</v>
      </c>
      <c r="E8" t="s">
        <v>99</v>
      </c>
      <c r="H8" t="s">
        <v>18</v>
      </c>
      <c r="K8">
        <v>8</v>
      </c>
    </row>
    <row r="9" spans="1:12" ht="15.75" x14ac:dyDescent="0.5">
      <c r="B9" t="s">
        <v>45</v>
      </c>
      <c r="C9" t="s">
        <v>46</v>
      </c>
      <c r="D9" t="s">
        <v>296</v>
      </c>
      <c r="E9" t="s">
        <v>99</v>
      </c>
      <c r="G9" t="s">
        <v>197</v>
      </c>
      <c r="H9" t="s">
        <v>68</v>
      </c>
    </row>
    <row r="10" spans="1:12" ht="15.75" x14ac:dyDescent="0.5">
      <c r="A10" t="s">
        <v>84</v>
      </c>
      <c r="B10" t="s">
        <v>45</v>
      </c>
      <c r="C10" t="s">
        <v>228</v>
      </c>
      <c r="D10" t="s">
        <v>301</v>
      </c>
      <c r="E10" t="s">
        <v>99</v>
      </c>
      <c r="F10" t="s">
        <v>71</v>
      </c>
      <c r="H10" t="s">
        <v>68</v>
      </c>
    </row>
    <row r="11" spans="1:12" ht="15.75" x14ac:dyDescent="0.5">
      <c r="B11" t="s">
        <v>45</v>
      </c>
      <c r="C11" t="s">
        <v>303</v>
      </c>
      <c r="D11" t="s">
        <v>304</v>
      </c>
      <c r="E11" t="s">
        <v>99</v>
      </c>
    </row>
    <row r="12" spans="1:12" ht="15.75" x14ac:dyDescent="0.5">
      <c r="B12" t="s">
        <v>45</v>
      </c>
      <c r="C12" t="s">
        <v>303</v>
      </c>
      <c r="D12" t="s">
        <v>305</v>
      </c>
      <c r="E12" t="s">
        <v>99</v>
      </c>
    </row>
    <row r="13" spans="1:12" ht="15.75" x14ac:dyDescent="0.5">
      <c r="B13" t="s">
        <v>45</v>
      </c>
      <c r="C13" t="s">
        <v>303</v>
      </c>
      <c r="D13" t="s">
        <v>306</v>
      </c>
      <c r="E13" t="s">
        <v>99</v>
      </c>
      <c r="F13" t="s">
        <v>194</v>
      </c>
    </row>
    <row r="14" spans="1:12" ht="15.75" x14ac:dyDescent="0.5">
      <c r="B14" t="s">
        <v>45</v>
      </c>
      <c r="C14" t="s">
        <v>303</v>
      </c>
      <c r="D14" t="s">
        <v>307</v>
      </c>
      <c r="E14" t="s">
        <v>99</v>
      </c>
    </row>
    <row r="15" spans="1:12" ht="15.75" x14ac:dyDescent="0.5">
      <c r="B15" t="s">
        <v>45</v>
      </c>
      <c r="C15" t="s">
        <v>303</v>
      </c>
      <c r="D15" t="s">
        <v>308</v>
      </c>
      <c r="E15" t="s">
        <v>99</v>
      </c>
    </row>
    <row r="16" spans="1:12" ht="15.75" x14ac:dyDescent="0.5">
      <c r="B16" t="s">
        <v>45</v>
      </c>
      <c r="C16" t="s">
        <v>303</v>
      </c>
      <c r="D16" t="s">
        <v>309</v>
      </c>
      <c r="E16" t="s">
        <v>99</v>
      </c>
    </row>
    <row r="17" spans="1:9" ht="15.75" x14ac:dyDescent="0.5">
      <c r="B17" t="s">
        <v>45</v>
      </c>
      <c r="C17" t="s">
        <v>303</v>
      </c>
      <c r="D17" t="s">
        <v>310</v>
      </c>
      <c r="E17" t="s">
        <v>99</v>
      </c>
    </row>
    <row r="18" spans="1:9" ht="15.75" x14ac:dyDescent="0.5">
      <c r="B18" t="s">
        <v>45</v>
      </c>
      <c r="C18" t="s">
        <v>303</v>
      </c>
      <c r="D18" t="s">
        <v>311</v>
      </c>
      <c r="E18" t="s">
        <v>99</v>
      </c>
    </row>
    <row r="19" spans="1:9" ht="15.75" x14ac:dyDescent="0.5">
      <c r="B19" t="s">
        <v>45</v>
      </c>
      <c r="C19" t="s">
        <v>303</v>
      </c>
      <c r="D19" t="s">
        <v>312</v>
      </c>
      <c r="E19" t="s">
        <v>99</v>
      </c>
    </row>
    <row r="20" spans="1:9" ht="15.75" x14ac:dyDescent="0.5">
      <c r="B20" t="s">
        <v>45</v>
      </c>
      <c r="C20" t="s">
        <v>303</v>
      </c>
      <c r="D20" t="s">
        <v>313</v>
      </c>
      <c r="E20" t="s">
        <v>99</v>
      </c>
    </row>
    <row r="21" spans="1:9" ht="15.75" x14ac:dyDescent="0.5">
      <c r="B21" t="s">
        <v>45</v>
      </c>
      <c r="C21" t="s">
        <v>303</v>
      </c>
      <c r="D21" t="s">
        <v>314</v>
      </c>
      <c r="E21" t="s">
        <v>99</v>
      </c>
    </row>
    <row r="22" spans="1:9" ht="15.75" x14ac:dyDescent="0.5">
      <c r="B22" t="s">
        <v>45</v>
      </c>
      <c r="C22" t="s">
        <v>303</v>
      </c>
      <c r="D22" t="s">
        <v>315</v>
      </c>
      <c r="E22" t="s">
        <v>99</v>
      </c>
    </row>
    <row r="23" spans="1:9" ht="15.75" x14ac:dyDescent="0.5">
      <c r="B23" t="s">
        <v>45</v>
      </c>
      <c r="C23" t="s">
        <v>303</v>
      </c>
      <c r="D23" t="s">
        <v>316</v>
      </c>
      <c r="E23" t="s">
        <v>99</v>
      </c>
    </row>
    <row r="24" spans="1:9" ht="15.75" x14ac:dyDescent="0.5">
      <c r="B24" t="s">
        <v>45</v>
      </c>
      <c r="C24" t="s">
        <v>303</v>
      </c>
      <c r="D24" t="s">
        <v>317</v>
      </c>
      <c r="E24" t="s">
        <v>99</v>
      </c>
    </row>
    <row r="25" spans="1:9" ht="15.75" x14ac:dyDescent="0.5">
      <c r="B25" t="s">
        <v>45</v>
      </c>
      <c r="C25" t="s">
        <v>303</v>
      </c>
      <c r="D25" t="s">
        <v>318</v>
      </c>
      <c r="E25" t="s">
        <v>99</v>
      </c>
    </row>
    <row r="26" spans="1:9" ht="15.75" x14ac:dyDescent="0.5">
      <c r="B26" t="s">
        <v>45</v>
      </c>
      <c r="C26" t="s">
        <v>303</v>
      </c>
      <c r="D26" t="s">
        <v>319</v>
      </c>
      <c r="E26" t="s">
        <v>99</v>
      </c>
    </row>
    <row r="27" spans="1:9" ht="15.75" x14ac:dyDescent="0.5">
      <c r="B27" t="s">
        <v>45</v>
      </c>
      <c r="C27" t="s">
        <v>303</v>
      </c>
      <c r="D27" t="s">
        <v>320</v>
      </c>
      <c r="E27" t="s">
        <v>99</v>
      </c>
    </row>
    <row r="28" spans="1:9" ht="15.75" x14ac:dyDescent="0.5">
      <c r="B28" t="s">
        <v>45</v>
      </c>
      <c r="C28" t="s">
        <v>303</v>
      </c>
      <c r="D28" t="s">
        <v>323</v>
      </c>
      <c r="E28" t="s">
        <v>99</v>
      </c>
    </row>
    <row r="29" spans="1:9" ht="15.75" x14ac:dyDescent="0.5">
      <c r="B29" t="s">
        <v>45</v>
      </c>
      <c r="C29" t="s">
        <v>46</v>
      </c>
      <c r="D29" t="s">
        <v>351</v>
      </c>
      <c r="E29" t="s">
        <v>99</v>
      </c>
    </row>
    <row r="30" spans="1:9" ht="15.75" x14ac:dyDescent="0.5">
      <c r="A30" t="s">
        <v>50</v>
      </c>
      <c r="B30" t="s">
        <v>45</v>
      </c>
      <c r="C30" t="s">
        <v>46</v>
      </c>
      <c r="D30" t="s">
        <v>51</v>
      </c>
      <c r="E30" t="s">
        <v>52</v>
      </c>
      <c r="F30" t="s">
        <v>49</v>
      </c>
    </row>
    <row r="31" spans="1:9" ht="15.75" x14ac:dyDescent="0.5">
      <c r="A31" t="s">
        <v>63</v>
      </c>
      <c r="B31" t="s">
        <v>45</v>
      </c>
      <c r="C31" t="s">
        <v>46</v>
      </c>
      <c r="D31" t="s">
        <v>64</v>
      </c>
      <c r="E31" t="s">
        <v>52</v>
      </c>
      <c r="F31" t="s">
        <v>65</v>
      </c>
      <c r="G31" t="s">
        <v>62</v>
      </c>
      <c r="H31" t="s">
        <v>18</v>
      </c>
    </row>
    <row r="32" spans="1:9" ht="15.75" x14ac:dyDescent="0.5">
      <c r="B32" t="s">
        <v>45</v>
      </c>
      <c r="C32" t="s">
        <v>46</v>
      </c>
      <c r="D32" t="s">
        <v>70</v>
      </c>
      <c r="E32" t="s">
        <v>52</v>
      </c>
      <c r="F32" t="s">
        <v>71</v>
      </c>
      <c r="G32" t="s">
        <v>62</v>
      </c>
      <c r="H32" t="s">
        <v>18</v>
      </c>
      <c r="I32">
        <v>50</v>
      </c>
    </row>
    <row r="33" spans="1:10" ht="15.75" x14ac:dyDescent="0.5">
      <c r="A33" t="s">
        <v>78</v>
      </c>
      <c r="B33" t="s">
        <v>45</v>
      </c>
      <c r="C33" t="s">
        <v>79</v>
      </c>
      <c r="D33" t="s">
        <v>80</v>
      </c>
      <c r="E33" t="s">
        <v>52</v>
      </c>
      <c r="F33" t="s">
        <v>76</v>
      </c>
    </row>
    <row r="34" spans="1:10" ht="15.75" x14ac:dyDescent="0.5">
      <c r="B34" t="s">
        <v>45</v>
      </c>
      <c r="C34" t="s">
        <v>46</v>
      </c>
      <c r="D34" t="s">
        <v>81</v>
      </c>
      <c r="E34" t="s">
        <v>52</v>
      </c>
      <c r="F34" t="s">
        <v>49</v>
      </c>
      <c r="G34" t="s">
        <v>82</v>
      </c>
      <c r="H34" t="s">
        <v>18</v>
      </c>
      <c r="I34">
        <v>30</v>
      </c>
    </row>
    <row r="35" spans="1:10" ht="15.75" x14ac:dyDescent="0.5">
      <c r="A35" t="s">
        <v>84</v>
      </c>
      <c r="B35" t="s">
        <v>45</v>
      </c>
      <c r="C35" t="s">
        <v>46</v>
      </c>
      <c r="D35" t="s">
        <v>85</v>
      </c>
      <c r="E35" t="s">
        <v>52</v>
      </c>
      <c r="F35" t="s">
        <v>49</v>
      </c>
    </row>
    <row r="36" spans="1:10" ht="15.75" x14ac:dyDescent="0.5">
      <c r="A36" t="s">
        <v>84</v>
      </c>
      <c r="B36" t="s">
        <v>45</v>
      </c>
      <c r="C36" t="s">
        <v>88</v>
      </c>
      <c r="D36" t="s">
        <v>89</v>
      </c>
      <c r="E36" t="s">
        <v>52</v>
      </c>
      <c r="F36" t="s">
        <v>49</v>
      </c>
    </row>
    <row r="37" spans="1:10" ht="15.75" x14ac:dyDescent="0.5">
      <c r="B37" t="s">
        <v>45</v>
      </c>
      <c r="C37" t="s">
        <v>46</v>
      </c>
      <c r="D37" t="s">
        <v>93</v>
      </c>
      <c r="E37" t="s">
        <v>52</v>
      </c>
      <c r="F37" t="s">
        <v>65</v>
      </c>
      <c r="H37" t="s">
        <v>68</v>
      </c>
    </row>
    <row r="38" spans="1:10" ht="15.75" x14ac:dyDescent="0.5">
      <c r="B38" t="s">
        <v>94</v>
      </c>
      <c r="C38" t="s">
        <v>95</v>
      </c>
      <c r="D38" t="s">
        <v>96</v>
      </c>
      <c r="E38" t="s">
        <v>52</v>
      </c>
      <c r="F38" t="s">
        <v>65</v>
      </c>
      <c r="J38" t="s">
        <v>97</v>
      </c>
    </row>
    <row r="39" spans="1:10" ht="15.75" x14ac:dyDescent="0.5">
      <c r="B39" t="s">
        <v>45</v>
      </c>
      <c r="C39" t="s">
        <v>46</v>
      </c>
      <c r="D39" t="s">
        <v>120</v>
      </c>
      <c r="E39" t="s">
        <v>52</v>
      </c>
      <c r="F39" t="s">
        <v>71</v>
      </c>
    </row>
    <row r="40" spans="1:10" ht="15.75" x14ac:dyDescent="0.5">
      <c r="B40" t="s">
        <v>45</v>
      </c>
      <c r="C40" t="s">
        <v>123</v>
      </c>
      <c r="D40" t="s">
        <v>124</v>
      </c>
      <c r="E40" t="s">
        <v>52</v>
      </c>
      <c r="F40" t="s">
        <v>65</v>
      </c>
      <c r="G40" t="s">
        <v>125</v>
      </c>
    </row>
    <row r="41" spans="1:10" ht="15.75" x14ac:dyDescent="0.5">
      <c r="B41" t="s">
        <v>45</v>
      </c>
      <c r="C41" t="s">
        <v>46</v>
      </c>
      <c r="D41" t="s">
        <v>128</v>
      </c>
      <c r="E41" t="s">
        <v>52</v>
      </c>
      <c r="G41" t="s">
        <v>129</v>
      </c>
      <c r="H41" t="s">
        <v>18</v>
      </c>
      <c r="I41">
        <v>30</v>
      </c>
    </row>
    <row r="42" spans="1:10" ht="15.75" x14ac:dyDescent="0.5">
      <c r="B42" t="s">
        <v>45</v>
      </c>
      <c r="C42" t="s">
        <v>46</v>
      </c>
      <c r="D42" t="s">
        <v>134</v>
      </c>
      <c r="E42" t="s">
        <v>52</v>
      </c>
    </row>
    <row r="43" spans="1:10" ht="15.75" x14ac:dyDescent="0.5">
      <c r="B43" t="s">
        <v>45</v>
      </c>
      <c r="C43" t="s">
        <v>132</v>
      </c>
      <c r="D43" t="s">
        <v>149</v>
      </c>
      <c r="E43" t="s">
        <v>52</v>
      </c>
      <c r="F43" t="s">
        <v>71</v>
      </c>
    </row>
    <row r="44" spans="1:10" ht="15.75" x14ac:dyDescent="0.5">
      <c r="A44" t="s">
        <v>84</v>
      </c>
      <c r="B44" t="s">
        <v>45</v>
      </c>
      <c r="C44" t="s">
        <v>46</v>
      </c>
      <c r="D44" t="s">
        <v>178</v>
      </c>
      <c r="E44" t="s">
        <v>52</v>
      </c>
      <c r="G44" t="s">
        <v>57</v>
      </c>
      <c r="H44" t="s">
        <v>18</v>
      </c>
      <c r="I44">
        <v>30</v>
      </c>
    </row>
    <row r="45" spans="1:10" ht="15.75" x14ac:dyDescent="0.5">
      <c r="B45" t="s">
        <v>45</v>
      </c>
      <c r="C45" t="s">
        <v>46</v>
      </c>
      <c r="D45" t="s">
        <v>190</v>
      </c>
      <c r="E45" t="s">
        <v>52</v>
      </c>
      <c r="H45" t="s">
        <v>18</v>
      </c>
    </row>
    <row r="46" spans="1:10" ht="15.75" x14ac:dyDescent="0.5">
      <c r="B46" t="s">
        <v>45</v>
      </c>
      <c r="C46" t="s">
        <v>54</v>
      </c>
      <c r="D46" t="s">
        <v>214</v>
      </c>
      <c r="E46" t="s">
        <v>52</v>
      </c>
      <c r="G46" t="s">
        <v>197</v>
      </c>
      <c r="H46" t="s">
        <v>18</v>
      </c>
      <c r="I46">
        <v>20</v>
      </c>
    </row>
    <row r="47" spans="1:10" ht="15.75" x14ac:dyDescent="0.5">
      <c r="B47" t="s">
        <v>45</v>
      </c>
      <c r="C47" t="s">
        <v>108</v>
      </c>
      <c r="D47" t="s">
        <v>226</v>
      </c>
      <c r="E47" t="s">
        <v>52</v>
      </c>
      <c r="H47" t="s">
        <v>18</v>
      </c>
      <c r="I47">
        <v>20</v>
      </c>
    </row>
    <row r="48" spans="1:10" ht="15.75" x14ac:dyDescent="0.5">
      <c r="B48" t="s">
        <v>45</v>
      </c>
      <c r="C48" t="s">
        <v>108</v>
      </c>
      <c r="D48" t="s">
        <v>230</v>
      </c>
      <c r="E48" t="s">
        <v>52</v>
      </c>
      <c r="H48" t="s">
        <v>18</v>
      </c>
      <c r="I48">
        <v>20</v>
      </c>
    </row>
    <row r="49" spans="1:9" ht="15.75" x14ac:dyDescent="0.5">
      <c r="B49" t="s">
        <v>45</v>
      </c>
      <c r="C49" t="s">
        <v>46</v>
      </c>
      <c r="D49" t="s">
        <v>253</v>
      </c>
      <c r="E49" t="s">
        <v>52</v>
      </c>
      <c r="H49" t="s">
        <v>18</v>
      </c>
      <c r="I49">
        <v>30</v>
      </c>
    </row>
    <row r="50" spans="1:9" ht="15.75" x14ac:dyDescent="0.5">
      <c r="B50" t="s">
        <v>45</v>
      </c>
      <c r="C50" t="s">
        <v>108</v>
      </c>
      <c r="D50" t="s">
        <v>263</v>
      </c>
      <c r="E50" t="s">
        <v>52</v>
      </c>
      <c r="H50" t="s">
        <v>18</v>
      </c>
      <c r="I50">
        <v>80</v>
      </c>
    </row>
    <row r="51" spans="1:9" ht="15.75" x14ac:dyDescent="0.5">
      <c r="B51" t="s">
        <v>45</v>
      </c>
      <c r="C51" t="s">
        <v>46</v>
      </c>
      <c r="D51" t="s">
        <v>300</v>
      </c>
      <c r="E51" t="s">
        <v>52</v>
      </c>
    </row>
    <row r="52" spans="1:9" ht="15.75" x14ac:dyDescent="0.5">
      <c r="B52" t="s">
        <v>45</v>
      </c>
      <c r="C52" t="s">
        <v>46</v>
      </c>
      <c r="D52" t="s">
        <v>383</v>
      </c>
      <c r="E52" t="s">
        <v>52</v>
      </c>
    </row>
    <row r="53" spans="1:9" ht="15.75" x14ac:dyDescent="0.5">
      <c r="B53" t="s">
        <v>45</v>
      </c>
      <c r="C53" t="s">
        <v>46</v>
      </c>
      <c r="D53" t="s">
        <v>392</v>
      </c>
      <c r="E53" t="s">
        <v>52</v>
      </c>
    </row>
    <row r="54" spans="1:9" ht="15.75" x14ac:dyDescent="0.5">
      <c r="A54" t="s">
        <v>112</v>
      </c>
      <c r="B54" t="s">
        <v>45</v>
      </c>
      <c r="C54" t="s">
        <v>113</v>
      </c>
      <c r="D54" t="s">
        <v>114</v>
      </c>
      <c r="E54" t="s">
        <v>115</v>
      </c>
      <c r="F54" t="s">
        <v>71</v>
      </c>
    </row>
    <row r="55" spans="1:9" ht="15.75" x14ac:dyDescent="0.5">
      <c r="B55" t="s">
        <v>45</v>
      </c>
      <c r="C55" t="s">
        <v>46</v>
      </c>
      <c r="D55" t="s">
        <v>138</v>
      </c>
      <c r="E55" t="s">
        <v>115</v>
      </c>
      <c r="G55" t="s">
        <v>127</v>
      </c>
      <c r="H55" t="s">
        <v>68</v>
      </c>
    </row>
    <row r="56" spans="1:9" ht="15.75" x14ac:dyDescent="0.5">
      <c r="B56" t="s">
        <v>45</v>
      </c>
      <c r="C56" t="s">
        <v>132</v>
      </c>
      <c r="D56" t="s">
        <v>156</v>
      </c>
      <c r="E56" t="s">
        <v>115</v>
      </c>
      <c r="G56" t="s">
        <v>157</v>
      </c>
    </row>
    <row r="57" spans="1:9" ht="15.75" x14ac:dyDescent="0.5">
      <c r="B57" t="s">
        <v>45</v>
      </c>
      <c r="C57" t="s">
        <v>46</v>
      </c>
      <c r="D57" t="s">
        <v>173</v>
      </c>
      <c r="E57" t="s">
        <v>115</v>
      </c>
      <c r="G57" t="s">
        <v>157</v>
      </c>
      <c r="H57" t="s">
        <v>68</v>
      </c>
    </row>
    <row r="58" spans="1:9" ht="15.75" x14ac:dyDescent="0.5">
      <c r="A58" t="s">
        <v>169</v>
      </c>
      <c r="B58" t="s">
        <v>45</v>
      </c>
      <c r="C58" t="s">
        <v>46</v>
      </c>
      <c r="D58" t="s">
        <v>174</v>
      </c>
      <c r="E58" t="s">
        <v>115</v>
      </c>
      <c r="G58" t="s">
        <v>57</v>
      </c>
      <c r="H58" t="s">
        <v>68</v>
      </c>
    </row>
    <row r="59" spans="1:9" ht="15.75" x14ac:dyDescent="0.5">
      <c r="B59" t="s">
        <v>45</v>
      </c>
      <c r="C59" t="s">
        <v>46</v>
      </c>
      <c r="D59" t="s">
        <v>186</v>
      </c>
      <c r="E59" t="s">
        <v>115</v>
      </c>
    </row>
    <row r="60" spans="1:9" ht="15.75" x14ac:dyDescent="0.5">
      <c r="B60" t="s">
        <v>45</v>
      </c>
      <c r="C60" t="s">
        <v>187</v>
      </c>
      <c r="D60" t="s">
        <v>213</v>
      </c>
      <c r="E60" t="s">
        <v>115</v>
      </c>
      <c r="H60" t="s">
        <v>18</v>
      </c>
      <c r="I60">
        <v>20</v>
      </c>
    </row>
    <row r="61" spans="1:9" ht="15.75" x14ac:dyDescent="0.5">
      <c r="B61" t="s">
        <v>45</v>
      </c>
      <c r="C61" t="s">
        <v>87</v>
      </c>
      <c r="D61" t="s">
        <v>297</v>
      </c>
      <c r="E61" t="s">
        <v>115</v>
      </c>
      <c r="G61" t="s">
        <v>157</v>
      </c>
      <c r="H61" t="s">
        <v>68</v>
      </c>
    </row>
    <row r="62" spans="1:9" ht="15.75" x14ac:dyDescent="0.5">
      <c r="B62" t="s">
        <v>45</v>
      </c>
      <c r="C62" t="s">
        <v>165</v>
      </c>
      <c r="D62" t="s">
        <v>341</v>
      </c>
      <c r="E62" t="s">
        <v>115</v>
      </c>
      <c r="H62" t="s">
        <v>18</v>
      </c>
      <c r="I62">
        <v>30</v>
      </c>
    </row>
    <row r="63" spans="1:9" ht="15.75" x14ac:dyDescent="0.5">
      <c r="B63" t="s">
        <v>45</v>
      </c>
      <c r="C63" t="s">
        <v>87</v>
      </c>
      <c r="D63" t="s">
        <v>139</v>
      </c>
      <c r="E63" t="s">
        <v>140</v>
      </c>
      <c r="G63" t="s">
        <v>127</v>
      </c>
      <c r="H63" t="s">
        <v>68</v>
      </c>
    </row>
    <row r="64" spans="1:9" ht="15.75" x14ac:dyDescent="0.5">
      <c r="B64" t="s">
        <v>45</v>
      </c>
      <c r="C64" t="s">
        <v>46</v>
      </c>
      <c r="D64" t="s">
        <v>182</v>
      </c>
      <c r="E64" t="s">
        <v>140</v>
      </c>
      <c r="H64" t="s">
        <v>18</v>
      </c>
    </row>
    <row r="65" spans="2:10" ht="15.75" x14ac:dyDescent="0.5">
      <c r="B65" t="s">
        <v>45</v>
      </c>
      <c r="C65" t="s">
        <v>46</v>
      </c>
      <c r="D65" t="s">
        <v>191</v>
      </c>
      <c r="E65" t="s">
        <v>192</v>
      </c>
    </row>
    <row r="66" spans="2:10" ht="15.75" x14ac:dyDescent="0.5">
      <c r="B66" t="s">
        <v>45</v>
      </c>
      <c r="C66" t="s">
        <v>46</v>
      </c>
      <c r="D66" t="s">
        <v>231</v>
      </c>
      <c r="E66" t="s">
        <v>192</v>
      </c>
    </row>
    <row r="67" spans="2:10" ht="15.75" x14ac:dyDescent="0.5">
      <c r="B67" t="s">
        <v>45</v>
      </c>
      <c r="C67" t="s">
        <v>46</v>
      </c>
      <c r="D67" t="s">
        <v>232</v>
      </c>
      <c r="E67" t="s">
        <v>192</v>
      </c>
    </row>
    <row r="68" spans="2:10" ht="15.75" x14ac:dyDescent="0.5">
      <c r="B68" t="s">
        <v>45</v>
      </c>
      <c r="C68" t="s">
        <v>46</v>
      </c>
      <c r="D68" t="s">
        <v>233</v>
      </c>
      <c r="E68" t="s">
        <v>192</v>
      </c>
    </row>
    <row r="69" spans="2:10" ht="15.75" x14ac:dyDescent="0.5">
      <c r="B69" t="s">
        <v>45</v>
      </c>
      <c r="C69" t="s">
        <v>46</v>
      </c>
      <c r="D69" t="s">
        <v>234</v>
      </c>
      <c r="E69" t="s">
        <v>192</v>
      </c>
    </row>
    <row r="70" spans="2:10" ht="15.75" x14ac:dyDescent="0.5">
      <c r="B70" t="s">
        <v>45</v>
      </c>
      <c r="C70" t="s">
        <v>46</v>
      </c>
      <c r="D70" t="s">
        <v>235</v>
      </c>
      <c r="E70" t="s">
        <v>192</v>
      </c>
    </row>
    <row r="71" spans="2:10" ht="15.75" x14ac:dyDescent="0.5">
      <c r="B71" t="s">
        <v>45</v>
      </c>
      <c r="C71" t="s">
        <v>236</v>
      </c>
      <c r="D71" t="s">
        <v>237</v>
      </c>
      <c r="E71" t="s">
        <v>192</v>
      </c>
    </row>
    <row r="72" spans="2:10" ht="15.75" x14ac:dyDescent="0.5">
      <c r="B72" t="s">
        <v>45</v>
      </c>
      <c r="C72" t="s">
        <v>46</v>
      </c>
      <c r="D72" t="s">
        <v>238</v>
      </c>
      <c r="E72" t="s">
        <v>192</v>
      </c>
    </row>
    <row r="73" spans="2:10" ht="15.75" x14ac:dyDescent="0.5">
      <c r="B73" t="s">
        <v>45</v>
      </c>
      <c r="C73" t="s">
        <v>46</v>
      </c>
      <c r="D73" t="s">
        <v>239</v>
      </c>
      <c r="E73" t="s">
        <v>192</v>
      </c>
    </row>
    <row r="74" spans="2:10" ht="15.75" x14ac:dyDescent="0.5">
      <c r="B74" t="s">
        <v>94</v>
      </c>
      <c r="C74" t="s">
        <v>95</v>
      </c>
      <c r="D74" t="s">
        <v>240</v>
      </c>
      <c r="E74" t="s">
        <v>192</v>
      </c>
    </row>
    <row r="75" spans="2:10" ht="15.75" x14ac:dyDescent="0.5">
      <c r="B75" t="s">
        <v>45</v>
      </c>
      <c r="C75" t="s">
        <v>46</v>
      </c>
      <c r="D75" t="s">
        <v>241</v>
      </c>
      <c r="E75" t="s">
        <v>192</v>
      </c>
    </row>
    <row r="76" spans="2:10" ht="15.75" x14ac:dyDescent="0.5">
      <c r="B76" t="s">
        <v>45</v>
      </c>
      <c r="C76" t="s">
        <v>54</v>
      </c>
      <c r="D76" t="s">
        <v>242</v>
      </c>
      <c r="E76" t="s">
        <v>192</v>
      </c>
    </row>
    <row r="77" spans="2:10" ht="15.75" x14ac:dyDescent="0.5">
      <c r="B77" t="s">
        <v>45</v>
      </c>
      <c r="C77" t="s">
        <v>54</v>
      </c>
      <c r="D77" t="s">
        <v>243</v>
      </c>
      <c r="E77" t="s">
        <v>192</v>
      </c>
      <c r="H77" t="s">
        <v>18</v>
      </c>
    </row>
    <row r="78" spans="2:10" ht="15.75" x14ac:dyDescent="0.5">
      <c r="B78" t="s">
        <v>45</v>
      </c>
      <c r="C78" t="s">
        <v>46</v>
      </c>
      <c r="D78" t="s">
        <v>244</v>
      </c>
      <c r="E78" t="s">
        <v>192</v>
      </c>
      <c r="G78" t="s">
        <v>245</v>
      </c>
      <c r="H78" t="s">
        <v>68</v>
      </c>
      <c r="J78" t="s">
        <v>246</v>
      </c>
    </row>
    <row r="79" spans="2:10" ht="15.75" x14ac:dyDescent="0.5">
      <c r="B79" t="s">
        <v>45</v>
      </c>
      <c r="C79" t="s">
        <v>46</v>
      </c>
      <c r="D79" t="s">
        <v>248</v>
      </c>
      <c r="E79" t="s">
        <v>192</v>
      </c>
      <c r="H79" t="s">
        <v>68</v>
      </c>
    </row>
    <row r="80" spans="2:10" ht="15.75" x14ac:dyDescent="0.5">
      <c r="B80" t="s">
        <v>45</v>
      </c>
      <c r="C80" t="s">
        <v>54</v>
      </c>
      <c r="D80" t="s">
        <v>261</v>
      </c>
      <c r="E80" t="s">
        <v>192</v>
      </c>
      <c r="G80" t="s">
        <v>193</v>
      </c>
      <c r="H80" t="s">
        <v>18</v>
      </c>
    </row>
    <row r="81" spans="1:9" ht="15.75" x14ac:dyDescent="0.5">
      <c r="B81" t="s">
        <v>45</v>
      </c>
      <c r="C81" t="s">
        <v>266</v>
      </c>
      <c r="D81" t="s">
        <v>267</v>
      </c>
      <c r="E81" t="s">
        <v>192</v>
      </c>
      <c r="H81" t="s">
        <v>68</v>
      </c>
      <c r="I81">
        <v>80</v>
      </c>
    </row>
    <row r="82" spans="1:9" ht="15.75" x14ac:dyDescent="0.5">
      <c r="B82" t="s">
        <v>45</v>
      </c>
      <c r="C82" t="s">
        <v>46</v>
      </c>
      <c r="D82" t="s">
        <v>270</v>
      </c>
      <c r="E82" t="s">
        <v>192</v>
      </c>
      <c r="H82" t="s">
        <v>68</v>
      </c>
    </row>
    <row r="83" spans="1:9" ht="15.75" x14ac:dyDescent="0.5">
      <c r="B83" t="s">
        <v>45</v>
      </c>
      <c r="C83" t="s">
        <v>46</v>
      </c>
      <c r="D83" t="s">
        <v>272</v>
      </c>
      <c r="E83" t="s">
        <v>192</v>
      </c>
      <c r="H83" t="s">
        <v>68</v>
      </c>
      <c r="I83">
        <v>20</v>
      </c>
    </row>
    <row r="84" spans="1:9" ht="15.75" x14ac:dyDescent="0.5">
      <c r="B84" t="s">
        <v>45</v>
      </c>
      <c r="C84" t="s">
        <v>266</v>
      </c>
      <c r="D84" t="s">
        <v>276</v>
      </c>
      <c r="E84" t="s">
        <v>192</v>
      </c>
      <c r="G84" t="s">
        <v>207</v>
      </c>
      <c r="H84" t="s">
        <v>68</v>
      </c>
      <c r="I84">
        <v>20</v>
      </c>
    </row>
    <row r="85" spans="1:9" ht="15.75" x14ac:dyDescent="0.5">
      <c r="A85" t="s">
        <v>84</v>
      </c>
      <c r="B85" t="s">
        <v>94</v>
      </c>
      <c r="C85" t="s">
        <v>95</v>
      </c>
      <c r="D85" t="s">
        <v>280</v>
      </c>
      <c r="E85" t="s">
        <v>192</v>
      </c>
      <c r="H85" t="s">
        <v>68</v>
      </c>
      <c r="I85">
        <v>20</v>
      </c>
    </row>
    <row r="86" spans="1:9" ht="15.75" x14ac:dyDescent="0.5">
      <c r="B86" t="s">
        <v>45</v>
      </c>
      <c r="C86" t="s">
        <v>46</v>
      </c>
      <c r="D86" t="s">
        <v>291</v>
      </c>
      <c r="E86" t="s">
        <v>192</v>
      </c>
      <c r="H86" t="s">
        <v>68</v>
      </c>
      <c r="I86">
        <v>30</v>
      </c>
    </row>
    <row r="87" spans="1:9" ht="15.75" x14ac:dyDescent="0.5">
      <c r="B87" t="s">
        <v>45</v>
      </c>
      <c r="C87" t="s">
        <v>132</v>
      </c>
      <c r="D87" t="s">
        <v>326</v>
      </c>
      <c r="E87" t="s">
        <v>192</v>
      </c>
      <c r="H87" t="s">
        <v>68</v>
      </c>
    </row>
    <row r="88" spans="1:9" ht="15.75" x14ac:dyDescent="0.5">
      <c r="B88" t="s">
        <v>45</v>
      </c>
      <c r="C88" t="s">
        <v>165</v>
      </c>
      <c r="D88" t="s">
        <v>336</v>
      </c>
      <c r="E88" t="s">
        <v>192</v>
      </c>
    </row>
    <row r="89" spans="1:9" ht="15.75" x14ac:dyDescent="0.5">
      <c r="B89" t="s">
        <v>321</v>
      </c>
      <c r="C89" t="s">
        <v>165</v>
      </c>
      <c r="D89" t="s">
        <v>355</v>
      </c>
      <c r="E89" t="s">
        <v>192</v>
      </c>
    </row>
    <row r="90" spans="1:9" ht="15.75" x14ac:dyDescent="0.5">
      <c r="B90" t="s">
        <v>45</v>
      </c>
      <c r="C90" t="s">
        <v>46</v>
      </c>
      <c r="D90" t="s">
        <v>356</v>
      </c>
      <c r="E90" t="s">
        <v>192</v>
      </c>
    </row>
    <row r="91" spans="1:9" ht="15.75" x14ac:dyDescent="0.5">
      <c r="B91" t="s">
        <v>45</v>
      </c>
      <c r="C91" t="s">
        <v>251</v>
      </c>
      <c r="D91" t="s">
        <v>357</v>
      </c>
      <c r="E91" t="s">
        <v>192</v>
      </c>
    </row>
    <row r="92" spans="1:9" ht="15.75" x14ac:dyDescent="0.5">
      <c r="B92" t="s">
        <v>45</v>
      </c>
      <c r="C92" t="s">
        <v>46</v>
      </c>
      <c r="D92" t="s">
        <v>401</v>
      </c>
      <c r="E92" t="s">
        <v>192</v>
      </c>
    </row>
    <row r="93" spans="1:9" ht="15.75" x14ac:dyDescent="0.5">
      <c r="A93" t="s">
        <v>53</v>
      </c>
      <c r="B93" t="s">
        <v>45</v>
      </c>
      <c r="C93" t="s">
        <v>54</v>
      </c>
      <c r="D93" t="s">
        <v>55</v>
      </c>
      <c r="E93" t="s">
        <v>56</v>
      </c>
      <c r="F93" t="s">
        <v>49</v>
      </c>
      <c r="G93" t="s">
        <v>57</v>
      </c>
    </row>
    <row r="94" spans="1:9" ht="15.75" x14ac:dyDescent="0.5">
      <c r="A94" t="s">
        <v>59</v>
      </c>
      <c r="B94" t="s">
        <v>45</v>
      </c>
      <c r="C94" t="s">
        <v>46</v>
      </c>
      <c r="D94" t="s">
        <v>60</v>
      </c>
      <c r="E94" t="s">
        <v>56</v>
      </c>
      <c r="F94" t="s">
        <v>49</v>
      </c>
    </row>
    <row r="95" spans="1:9" ht="15.75" x14ac:dyDescent="0.5">
      <c r="A95" t="s">
        <v>50</v>
      </c>
      <c r="B95" t="s">
        <v>45</v>
      </c>
      <c r="C95" t="s">
        <v>46</v>
      </c>
      <c r="D95" t="s">
        <v>61</v>
      </c>
      <c r="E95" t="s">
        <v>56</v>
      </c>
      <c r="F95" t="s">
        <v>49</v>
      </c>
      <c r="G95" t="s">
        <v>62</v>
      </c>
    </row>
    <row r="96" spans="1:9" ht="15.75" x14ac:dyDescent="0.5">
      <c r="B96" t="s">
        <v>45</v>
      </c>
      <c r="C96" t="s">
        <v>46</v>
      </c>
      <c r="D96" t="s">
        <v>91</v>
      </c>
      <c r="E96" t="s">
        <v>56</v>
      </c>
      <c r="F96" t="s">
        <v>65</v>
      </c>
    </row>
    <row r="97" spans="1:12" ht="15.75" x14ac:dyDescent="0.5">
      <c r="B97" t="s">
        <v>45</v>
      </c>
      <c r="C97" t="s">
        <v>46</v>
      </c>
      <c r="D97" t="s">
        <v>146</v>
      </c>
      <c r="E97" t="s">
        <v>56</v>
      </c>
    </row>
    <row r="98" spans="1:12" ht="15.75" x14ac:dyDescent="0.5">
      <c r="B98" t="s">
        <v>45</v>
      </c>
      <c r="C98" t="s">
        <v>87</v>
      </c>
      <c r="D98" t="s">
        <v>167</v>
      </c>
      <c r="E98" t="s">
        <v>56</v>
      </c>
      <c r="G98" t="s">
        <v>57</v>
      </c>
    </row>
    <row r="99" spans="1:12" ht="15.75" x14ac:dyDescent="0.5">
      <c r="A99" t="s">
        <v>84</v>
      </c>
      <c r="B99" t="s">
        <v>45</v>
      </c>
      <c r="C99" t="s">
        <v>46</v>
      </c>
      <c r="D99" t="s">
        <v>168</v>
      </c>
      <c r="E99" t="s">
        <v>56</v>
      </c>
      <c r="G99" t="s">
        <v>57</v>
      </c>
      <c r="H99" t="s">
        <v>18</v>
      </c>
      <c r="I99">
        <v>50</v>
      </c>
    </row>
    <row r="100" spans="1:12" ht="15.75" x14ac:dyDescent="0.5">
      <c r="A100" t="s">
        <v>44</v>
      </c>
      <c r="B100" t="s">
        <v>45</v>
      </c>
      <c r="C100" t="s">
        <v>46</v>
      </c>
      <c r="D100" t="s">
        <v>47</v>
      </c>
      <c r="E100" t="s">
        <v>48</v>
      </c>
      <c r="F100" t="s">
        <v>49</v>
      </c>
    </row>
    <row r="101" spans="1:12" ht="15.75" x14ac:dyDescent="0.5">
      <c r="A101" t="s">
        <v>50</v>
      </c>
      <c r="B101" t="s">
        <v>45</v>
      </c>
      <c r="C101" t="s">
        <v>46</v>
      </c>
      <c r="D101" t="s">
        <v>58</v>
      </c>
      <c r="E101" t="s">
        <v>48</v>
      </c>
      <c r="F101" t="s">
        <v>49</v>
      </c>
    </row>
    <row r="102" spans="1:12" ht="15.75" x14ac:dyDescent="0.5">
      <c r="A102" t="s">
        <v>50</v>
      </c>
      <c r="B102" t="s">
        <v>45</v>
      </c>
      <c r="C102" t="s">
        <v>46</v>
      </c>
      <c r="D102" t="s">
        <v>74</v>
      </c>
      <c r="E102" t="s">
        <v>48</v>
      </c>
      <c r="F102" t="s">
        <v>49</v>
      </c>
    </row>
    <row r="103" spans="1:12" ht="15.75" x14ac:dyDescent="0.5">
      <c r="B103" t="s">
        <v>45</v>
      </c>
      <c r="C103" t="s">
        <v>46</v>
      </c>
      <c r="D103" t="s">
        <v>75</v>
      </c>
      <c r="E103" t="s">
        <v>48</v>
      </c>
      <c r="F103" t="s">
        <v>76</v>
      </c>
      <c r="L103" t="s">
        <v>77</v>
      </c>
    </row>
    <row r="104" spans="1:12" ht="15.75" x14ac:dyDescent="0.5">
      <c r="B104" t="s">
        <v>45</v>
      </c>
      <c r="C104" t="s">
        <v>46</v>
      </c>
      <c r="D104" t="s">
        <v>83</v>
      </c>
      <c r="E104" t="s">
        <v>48</v>
      </c>
      <c r="F104" t="s">
        <v>49</v>
      </c>
    </row>
    <row r="105" spans="1:12" ht="15.75" x14ac:dyDescent="0.5">
      <c r="A105" t="s">
        <v>86</v>
      </c>
      <c r="B105" t="s">
        <v>45</v>
      </c>
      <c r="C105" t="s">
        <v>46</v>
      </c>
      <c r="D105" t="s">
        <v>90</v>
      </c>
      <c r="E105" t="s">
        <v>48</v>
      </c>
      <c r="F105" t="s">
        <v>49</v>
      </c>
    </row>
    <row r="106" spans="1:12" ht="15.75" x14ac:dyDescent="0.5">
      <c r="B106" t="s">
        <v>45</v>
      </c>
      <c r="C106" t="s">
        <v>46</v>
      </c>
      <c r="D106" t="s">
        <v>92</v>
      </c>
      <c r="E106" t="s">
        <v>48</v>
      </c>
      <c r="F106" t="s">
        <v>65</v>
      </c>
    </row>
    <row r="107" spans="1:12" ht="15.75" x14ac:dyDescent="0.5">
      <c r="B107" t="s">
        <v>45</v>
      </c>
      <c r="C107" t="s">
        <v>46</v>
      </c>
      <c r="D107" t="s">
        <v>100</v>
      </c>
      <c r="E107" t="s">
        <v>48</v>
      </c>
      <c r="F107" t="s">
        <v>71</v>
      </c>
    </row>
    <row r="108" spans="1:12" ht="15.75" x14ac:dyDescent="0.5">
      <c r="B108" t="s">
        <v>94</v>
      </c>
      <c r="C108" t="s">
        <v>101</v>
      </c>
      <c r="D108" t="s">
        <v>102</v>
      </c>
      <c r="E108" t="s">
        <v>48</v>
      </c>
      <c r="F108" t="s">
        <v>71</v>
      </c>
    </row>
    <row r="109" spans="1:12" ht="15.75" x14ac:dyDescent="0.5">
      <c r="B109" t="s">
        <v>45</v>
      </c>
      <c r="C109" t="s">
        <v>54</v>
      </c>
      <c r="D109" t="s">
        <v>103</v>
      </c>
      <c r="E109" t="s">
        <v>48</v>
      </c>
      <c r="F109" t="s">
        <v>71</v>
      </c>
      <c r="G109" t="s">
        <v>104</v>
      </c>
    </row>
    <row r="110" spans="1:12" ht="15.75" x14ac:dyDescent="0.5">
      <c r="B110" t="s">
        <v>45</v>
      </c>
      <c r="C110" t="s">
        <v>46</v>
      </c>
      <c r="D110" t="s">
        <v>106</v>
      </c>
      <c r="E110" t="s">
        <v>48</v>
      </c>
      <c r="F110" t="s">
        <v>71</v>
      </c>
    </row>
    <row r="111" spans="1:12" ht="15.75" x14ac:dyDescent="0.5">
      <c r="B111" t="s">
        <v>45</v>
      </c>
      <c r="C111" t="s">
        <v>108</v>
      </c>
      <c r="D111" t="s">
        <v>109</v>
      </c>
      <c r="E111" t="s">
        <v>48</v>
      </c>
      <c r="F111" t="s">
        <v>71</v>
      </c>
    </row>
    <row r="112" spans="1:12" ht="15.75" x14ac:dyDescent="0.5">
      <c r="B112" t="s">
        <v>45</v>
      </c>
      <c r="C112" t="s">
        <v>110</v>
      </c>
      <c r="D112" t="s">
        <v>111</v>
      </c>
      <c r="E112" t="s">
        <v>48</v>
      </c>
      <c r="F112" t="s">
        <v>71</v>
      </c>
      <c r="G112" t="s">
        <v>57</v>
      </c>
    </row>
    <row r="113" spans="1:7" ht="15.75" x14ac:dyDescent="0.5">
      <c r="A113" t="s">
        <v>116</v>
      </c>
      <c r="B113" t="s">
        <v>45</v>
      </c>
      <c r="C113" t="s">
        <v>118</v>
      </c>
      <c r="D113" t="s">
        <v>119</v>
      </c>
      <c r="E113" t="s">
        <v>48</v>
      </c>
      <c r="F113" t="s">
        <v>65</v>
      </c>
    </row>
    <row r="114" spans="1:7" ht="15.75" x14ac:dyDescent="0.5">
      <c r="B114" t="s">
        <v>45</v>
      </c>
      <c r="C114" t="s">
        <v>46</v>
      </c>
      <c r="D114" t="s">
        <v>121</v>
      </c>
      <c r="E114" t="s">
        <v>48</v>
      </c>
      <c r="F114" t="s">
        <v>71</v>
      </c>
    </row>
    <row r="115" spans="1:7" ht="15.75" x14ac:dyDescent="0.5">
      <c r="B115" t="s">
        <v>45</v>
      </c>
      <c r="C115" t="s">
        <v>54</v>
      </c>
      <c r="D115" t="s">
        <v>122</v>
      </c>
      <c r="E115" t="s">
        <v>48</v>
      </c>
      <c r="F115" t="s">
        <v>71</v>
      </c>
    </row>
    <row r="116" spans="1:7" ht="15.75" x14ac:dyDescent="0.5">
      <c r="B116" t="s">
        <v>45</v>
      </c>
      <c r="C116" t="s">
        <v>46</v>
      </c>
      <c r="D116" t="s">
        <v>126</v>
      </c>
      <c r="E116" t="s">
        <v>48</v>
      </c>
      <c r="G116" t="s">
        <v>127</v>
      </c>
    </row>
    <row r="117" spans="1:7" ht="15.75" x14ac:dyDescent="0.5">
      <c r="A117" t="s">
        <v>130</v>
      </c>
      <c r="B117" t="s">
        <v>131</v>
      </c>
      <c r="C117" t="s">
        <v>132</v>
      </c>
      <c r="D117" t="s">
        <v>133</v>
      </c>
      <c r="E117" t="s">
        <v>48</v>
      </c>
    </row>
    <row r="118" spans="1:7" ht="15.75" x14ac:dyDescent="0.5">
      <c r="B118" t="s">
        <v>45</v>
      </c>
      <c r="C118" t="s">
        <v>46</v>
      </c>
      <c r="D118" t="s">
        <v>135</v>
      </c>
      <c r="E118" t="s">
        <v>48</v>
      </c>
    </row>
    <row r="119" spans="1:7" ht="15.75" x14ac:dyDescent="0.5">
      <c r="B119" t="s">
        <v>45</v>
      </c>
      <c r="C119" t="s">
        <v>46</v>
      </c>
      <c r="D119" t="s">
        <v>136</v>
      </c>
      <c r="E119" t="s">
        <v>48</v>
      </c>
      <c r="G119" t="s">
        <v>127</v>
      </c>
    </row>
    <row r="120" spans="1:7" ht="15.75" x14ac:dyDescent="0.5">
      <c r="B120" t="s">
        <v>45</v>
      </c>
      <c r="C120" t="s">
        <v>46</v>
      </c>
      <c r="D120" t="s">
        <v>137</v>
      </c>
      <c r="E120" t="s">
        <v>48</v>
      </c>
      <c r="G120" t="s">
        <v>127</v>
      </c>
    </row>
    <row r="121" spans="1:7" ht="15.75" x14ac:dyDescent="0.5">
      <c r="B121" t="s">
        <v>45</v>
      </c>
      <c r="C121" t="s">
        <v>46</v>
      </c>
      <c r="D121" t="s">
        <v>141</v>
      </c>
      <c r="E121" t="s">
        <v>48</v>
      </c>
      <c r="G121" t="s">
        <v>127</v>
      </c>
    </row>
    <row r="122" spans="1:7" ht="15.75" x14ac:dyDescent="0.5">
      <c r="B122" t="s">
        <v>94</v>
      </c>
      <c r="C122" t="s">
        <v>95</v>
      </c>
      <c r="D122" t="s">
        <v>142</v>
      </c>
      <c r="E122" t="s">
        <v>48</v>
      </c>
      <c r="F122" t="s">
        <v>71</v>
      </c>
    </row>
    <row r="123" spans="1:7" ht="15.75" x14ac:dyDescent="0.5">
      <c r="B123" t="s">
        <v>45</v>
      </c>
      <c r="C123" t="s">
        <v>46</v>
      </c>
      <c r="D123" t="s">
        <v>143</v>
      </c>
      <c r="E123" t="s">
        <v>48</v>
      </c>
      <c r="F123" t="s">
        <v>71</v>
      </c>
    </row>
    <row r="124" spans="1:7" ht="15.75" x14ac:dyDescent="0.5">
      <c r="B124" t="s">
        <v>45</v>
      </c>
      <c r="C124" t="s">
        <v>132</v>
      </c>
      <c r="D124" t="s">
        <v>144</v>
      </c>
      <c r="E124" t="s">
        <v>48</v>
      </c>
    </row>
    <row r="125" spans="1:7" ht="15.75" x14ac:dyDescent="0.5">
      <c r="B125" t="s">
        <v>45</v>
      </c>
      <c r="C125" t="s">
        <v>46</v>
      </c>
      <c r="D125" t="s">
        <v>145</v>
      </c>
      <c r="E125" t="s">
        <v>48</v>
      </c>
    </row>
    <row r="126" spans="1:7" ht="15.75" x14ac:dyDescent="0.5">
      <c r="B126" t="s">
        <v>45</v>
      </c>
      <c r="C126" t="s">
        <v>147</v>
      </c>
      <c r="D126" t="s">
        <v>148</v>
      </c>
      <c r="E126" t="s">
        <v>48</v>
      </c>
      <c r="F126" t="s">
        <v>71</v>
      </c>
    </row>
    <row r="127" spans="1:7" ht="15.75" x14ac:dyDescent="0.5">
      <c r="B127" t="s">
        <v>45</v>
      </c>
      <c r="C127" t="s">
        <v>87</v>
      </c>
      <c r="D127" t="s">
        <v>150</v>
      </c>
      <c r="E127" t="s">
        <v>48</v>
      </c>
    </row>
    <row r="128" spans="1:7" ht="15.75" x14ac:dyDescent="0.5">
      <c r="B128" t="s">
        <v>45</v>
      </c>
      <c r="C128" t="s">
        <v>46</v>
      </c>
      <c r="D128" t="s">
        <v>151</v>
      </c>
      <c r="E128" t="s">
        <v>48</v>
      </c>
      <c r="G128" t="s">
        <v>127</v>
      </c>
    </row>
    <row r="129" spans="1:7" ht="15.75" x14ac:dyDescent="0.5">
      <c r="B129" t="s">
        <v>45</v>
      </c>
      <c r="C129" t="s">
        <v>46</v>
      </c>
      <c r="D129" t="s">
        <v>152</v>
      </c>
      <c r="E129" t="s">
        <v>48</v>
      </c>
      <c r="G129" t="s">
        <v>127</v>
      </c>
    </row>
    <row r="130" spans="1:7" ht="15.75" x14ac:dyDescent="0.5">
      <c r="A130" t="s">
        <v>154</v>
      </c>
      <c r="B130" t="s">
        <v>45</v>
      </c>
      <c r="C130" t="s">
        <v>113</v>
      </c>
      <c r="D130" t="s">
        <v>155</v>
      </c>
      <c r="E130" t="s">
        <v>48</v>
      </c>
      <c r="G130" t="s">
        <v>57</v>
      </c>
    </row>
    <row r="131" spans="1:7" ht="15.75" x14ac:dyDescent="0.5">
      <c r="A131" t="s">
        <v>158</v>
      </c>
      <c r="B131" t="s">
        <v>45</v>
      </c>
      <c r="C131" t="s">
        <v>46</v>
      </c>
      <c r="D131" t="s">
        <v>159</v>
      </c>
      <c r="E131" t="s">
        <v>48</v>
      </c>
      <c r="F131" t="s">
        <v>71</v>
      </c>
      <c r="G131" t="s">
        <v>57</v>
      </c>
    </row>
    <row r="132" spans="1:7" ht="15.75" x14ac:dyDescent="0.5">
      <c r="B132" t="s">
        <v>45</v>
      </c>
      <c r="C132" t="s">
        <v>108</v>
      </c>
      <c r="D132" t="s">
        <v>160</v>
      </c>
      <c r="E132" t="s">
        <v>48</v>
      </c>
      <c r="F132" t="s">
        <v>71</v>
      </c>
    </row>
    <row r="133" spans="1:7" ht="15.75" x14ac:dyDescent="0.5">
      <c r="B133" t="s">
        <v>45</v>
      </c>
      <c r="C133" t="s">
        <v>161</v>
      </c>
      <c r="D133" t="s">
        <v>162</v>
      </c>
      <c r="E133" t="s">
        <v>48</v>
      </c>
      <c r="G133" t="s">
        <v>57</v>
      </c>
    </row>
    <row r="134" spans="1:7" ht="15.75" x14ac:dyDescent="0.5">
      <c r="B134" t="s">
        <v>45</v>
      </c>
      <c r="C134" t="s">
        <v>108</v>
      </c>
      <c r="D134" t="s">
        <v>163</v>
      </c>
      <c r="E134" t="s">
        <v>48</v>
      </c>
    </row>
    <row r="135" spans="1:7" ht="15.75" x14ac:dyDescent="0.5">
      <c r="B135" t="s">
        <v>45</v>
      </c>
      <c r="C135" t="s">
        <v>161</v>
      </c>
      <c r="D135" t="s">
        <v>164</v>
      </c>
      <c r="E135" t="s">
        <v>48</v>
      </c>
    </row>
    <row r="136" spans="1:7" ht="15.75" x14ac:dyDescent="0.5">
      <c r="A136" t="s">
        <v>84</v>
      </c>
      <c r="B136" t="s">
        <v>45</v>
      </c>
      <c r="C136" t="s">
        <v>165</v>
      </c>
      <c r="D136" t="s">
        <v>166</v>
      </c>
      <c r="E136" t="s">
        <v>48</v>
      </c>
      <c r="G136" t="s">
        <v>57</v>
      </c>
    </row>
    <row r="137" spans="1:7" ht="15.75" x14ac:dyDescent="0.5">
      <c r="B137" t="s">
        <v>45</v>
      </c>
      <c r="C137" t="s">
        <v>46</v>
      </c>
      <c r="D137" t="s">
        <v>176</v>
      </c>
      <c r="E137" t="s">
        <v>48</v>
      </c>
      <c r="F137" t="s">
        <v>71</v>
      </c>
      <c r="G137" t="s">
        <v>125</v>
      </c>
    </row>
    <row r="138" spans="1:7" ht="15.75" x14ac:dyDescent="0.5">
      <c r="B138" t="s">
        <v>45</v>
      </c>
      <c r="C138" t="s">
        <v>46</v>
      </c>
      <c r="D138" t="s">
        <v>179</v>
      </c>
      <c r="E138" t="s">
        <v>48</v>
      </c>
      <c r="G138" t="s">
        <v>153</v>
      </c>
    </row>
    <row r="139" spans="1:7" ht="15.75" x14ac:dyDescent="0.5">
      <c r="B139" t="s">
        <v>45</v>
      </c>
      <c r="C139" t="s">
        <v>108</v>
      </c>
      <c r="D139" t="s">
        <v>181</v>
      </c>
      <c r="E139" t="s">
        <v>48</v>
      </c>
      <c r="G139" t="s">
        <v>157</v>
      </c>
    </row>
    <row r="140" spans="1:7" ht="15.75" x14ac:dyDescent="0.5">
      <c r="B140" t="s">
        <v>45</v>
      </c>
      <c r="C140" t="s">
        <v>54</v>
      </c>
      <c r="D140" t="s">
        <v>185</v>
      </c>
      <c r="E140" t="s">
        <v>48</v>
      </c>
    </row>
    <row r="141" spans="1:7" ht="15.75" x14ac:dyDescent="0.5">
      <c r="B141" t="s">
        <v>45</v>
      </c>
      <c r="C141" t="s">
        <v>187</v>
      </c>
      <c r="D141" t="s">
        <v>188</v>
      </c>
      <c r="E141" t="s">
        <v>48</v>
      </c>
      <c r="G141" t="s">
        <v>189</v>
      </c>
    </row>
    <row r="142" spans="1:7" ht="15.75" x14ac:dyDescent="0.5">
      <c r="B142" t="s">
        <v>45</v>
      </c>
      <c r="C142" t="s">
        <v>46</v>
      </c>
      <c r="D142" t="s">
        <v>298</v>
      </c>
      <c r="E142" t="s">
        <v>48</v>
      </c>
      <c r="G142" t="s">
        <v>157</v>
      </c>
    </row>
    <row r="143" spans="1:7" ht="15.75" x14ac:dyDescent="0.5">
      <c r="B143" t="s">
        <v>45</v>
      </c>
      <c r="C143" t="s">
        <v>46</v>
      </c>
      <c r="D143" t="s">
        <v>299</v>
      </c>
      <c r="E143" t="s">
        <v>48</v>
      </c>
      <c r="G143" t="s">
        <v>288</v>
      </c>
    </row>
    <row r="144" spans="1:7" ht="15.75" x14ac:dyDescent="0.5">
      <c r="B144" t="s">
        <v>45</v>
      </c>
      <c r="C144" t="s">
        <v>46</v>
      </c>
      <c r="D144" t="s">
        <v>322</v>
      </c>
      <c r="E144" t="s">
        <v>48</v>
      </c>
    </row>
    <row r="145" spans="1:7" ht="15.75" x14ac:dyDescent="0.5">
      <c r="B145" t="s">
        <v>45</v>
      </c>
      <c r="C145" t="s">
        <v>54</v>
      </c>
      <c r="D145" t="s">
        <v>324</v>
      </c>
      <c r="E145" t="s">
        <v>48</v>
      </c>
      <c r="G145" t="s">
        <v>247</v>
      </c>
    </row>
    <row r="146" spans="1:7" ht="15.75" x14ac:dyDescent="0.5">
      <c r="B146" t="s">
        <v>45</v>
      </c>
      <c r="C146" t="s">
        <v>132</v>
      </c>
      <c r="D146" t="s">
        <v>325</v>
      </c>
      <c r="E146" t="s">
        <v>48</v>
      </c>
    </row>
    <row r="147" spans="1:7" ht="15.75" x14ac:dyDescent="0.5">
      <c r="B147" t="s">
        <v>45</v>
      </c>
      <c r="C147" t="s">
        <v>46</v>
      </c>
      <c r="D147" t="s">
        <v>327</v>
      </c>
      <c r="E147" t="s">
        <v>48</v>
      </c>
    </row>
    <row r="148" spans="1:7" ht="15.75" x14ac:dyDescent="0.5">
      <c r="B148" t="s">
        <v>45</v>
      </c>
      <c r="C148" t="s">
        <v>79</v>
      </c>
      <c r="D148" t="s">
        <v>328</v>
      </c>
      <c r="E148" t="s">
        <v>48</v>
      </c>
    </row>
    <row r="149" spans="1:7" ht="15.75" x14ac:dyDescent="0.5">
      <c r="B149" t="s">
        <v>45</v>
      </c>
      <c r="C149" t="s">
        <v>46</v>
      </c>
      <c r="D149" t="s">
        <v>329</v>
      </c>
      <c r="E149" t="s">
        <v>48</v>
      </c>
    </row>
    <row r="150" spans="1:7" ht="15.75" x14ac:dyDescent="0.5">
      <c r="B150" t="s">
        <v>45</v>
      </c>
      <c r="C150" t="s">
        <v>79</v>
      </c>
      <c r="D150" t="s">
        <v>330</v>
      </c>
      <c r="E150" t="s">
        <v>48</v>
      </c>
      <c r="G150" t="s">
        <v>207</v>
      </c>
    </row>
    <row r="151" spans="1:7" ht="15.75" x14ac:dyDescent="0.5">
      <c r="B151" t="s">
        <v>45</v>
      </c>
      <c r="C151" t="s">
        <v>46</v>
      </c>
      <c r="D151" t="s">
        <v>331</v>
      </c>
      <c r="E151" t="s">
        <v>48</v>
      </c>
      <c r="G151" t="s">
        <v>125</v>
      </c>
    </row>
    <row r="152" spans="1:7" ht="15.75" x14ac:dyDescent="0.5">
      <c r="B152" t="s">
        <v>45</v>
      </c>
      <c r="C152" t="s">
        <v>46</v>
      </c>
      <c r="D152" t="s">
        <v>332</v>
      </c>
      <c r="E152" t="s">
        <v>48</v>
      </c>
    </row>
    <row r="153" spans="1:7" ht="15.75" x14ac:dyDescent="0.5">
      <c r="B153" t="s">
        <v>45</v>
      </c>
      <c r="C153" t="s">
        <v>46</v>
      </c>
      <c r="D153" t="s">
        <v>333</v>
      </c>
      <c r="E153" t="s">
        <v>48</v>
      </c>
      <c r="G153" t="s">
        <v>334</v>
      </c>
    </row>
    <row r="154" spans="1:7" ht="15.75" x14ac:dyDescent="0.5">
      <c r="B154" t="s">
        <v>45</v>
      </c>
      <c r="C154" t="s">
        <v>46</v>
      </c>
      <c r="D154" t="s">
        <v>335</v>
      </c>
      <c r="E154" t="s">
        <v>48</v>
      </c>
      <c r="G154" t="s">
        <v>275</v>
      </c>
    </row>
    <row r="155" spans="1:7" ht="15.75" x14ac:dyDescent="0.5">
      <c r="B155" t="s">
        <v>45</v>
      </c>
      <c r="C155" t="s">
        <v>46</v>
      </c>
      <c r="D155" t="s">
        <v>337</v>
      </c>
      <c r="E155" t="s">
        <v>48</v>
      </c>
    </row>
    <row r="156" spans="1:7" ht="15.75" x14ac:dyDescent="0.5">
      <c r="B156" t="s">
        <v>45</v>
      </c>
      <c r="C156" t="s">
        <v>46</v>
      </c>
      <c r="D156" t="s">
        <v>338</v>
      </c>
      <c r="E156" t="s">
        <v>48</v>
      </c>
    </row>
    <row r="157" spans="1:7" ht="15.75" x14ac:dyDescent="0.5">
      <c r="B157" t="s">
        <v>45</v>
      </c>
      <c r="C157" t="s">
        <v>46</v>
      </c>
      <c r="D157" t="s">
        <v>339</v>
      </c>
      <c r="E157" t="s">
        <v>48</v>
      </c>
    </row>
    <row r="158" spans="1:7" ht="15.75" x14ac:dyDescent="0.5">
      <c r="B158" t="s">
        <v>45</v>
      </c>
      <c r="C158" t="s">
        <v>79</v>
      </c>
      <c r="D158" t="s">
        <v>340</v>
      </c>
      <c r="E158" t="s">
        <v>48</v>
      </c>
    </row>
    <row r="159" spans="1:7" ht="15.75" x14ac:dyDescent="0.5">
      <c r="B159" t="s">
        <v>45</v>
      </c>
      <c r="C159" t="s">
        <v>196</v>
      </c>
      <c r="D159" t="s">
        <v>342</v>
      </c>
      <c r="E159" t="s">
        <v>48</v>
      </c>
    </row>
    <row r="160" spans="1:7" ht="15.75" x14ac:dyDescent="0.5">
      <c r="A160" t="s">
        <v>116</v>
      </c>
      <c r="B160" t="s">
        <v>45</v>
      </c>
      <c r="C160" t="s">
        <v>46</v>
      </c>
      <c r="D160" t="s">
        <v>343</v>
      </c>
      <c r="E160" t="s">
        <v>48</v>
      </c>
    </row>
    <row r="161" spans="1:5" ht="15.75" x14ac:dyDescent="0.5">
      <c r="B161" t="s">
        <v>45</v>
      </c>
      <c r="C161" t="s">
        <v>46</v>
      </c>
      <c r="D161" t="s">
        <v>344</v>
      </c>
      <c r="E161" t="s">
        <v>48</v>
      </c>
    </row>
    <row r="162" spans="1:5" ht="15.75" x14ac:dyDescent="0.5">
      <c r="B162" t="s">
        <v>45</v>
      </c>
      <c r="C162" t="s">
        <v>46</v>
      </c>
      <c r="D162" t="s">
        <v>345</v>
      </c>
      <c r="E162" t="s">
        <v>48</v>
      </c>
    </row>
    <row r="163" spans="1:5" ht="15.75" x14ac:dyDescent="0.5">
      <c r="B163" t="s">
        <v>45</v>
      </c>
      <c r="C163" t="s">
        <v>46</v>
      </c>
      <c r="D163" t="s">
        <v>346</v>
      </c>
      <c r="E163" t="s">
        <v>48</v>
      </c>
    </row>
    <row r="164" spans="1:5" ht="15.75" x14ac:dyDescent="0.5">
      <c r="A164" t="s">
        <v>116</v>
      </c>
      <c r="B164" t="s">
        <v>94</v>
      </c>
      <c r="C164" t="s">
        <v>95</v>
      </c>
      <c r="D164" t="s">
        <v>347</v>
      </c>
      <c r="E164" t="s">
        <v>48</v>
      </c>
    </row>
    <row r="165" spans="1:5" ht="15.75" x14ac:dyDescent="0.5">
      <c r="B165" t="s">
        <v>45</v>
      </c>
      <c r="C165" t="s">
        <v>46</v>
      </c>
      <c r="D165" t="s">
        <v>348</v>
      </c>
      <c r="E165" t="s">
        <v>48</v>
      </c>
    </row>
    <row r="166" spans="1:5" ht="15.75" x14ac:dyDescent="0.5">
      <c r="B166" t="s">
        <v>45</v>
      </c>
      <c r="C166" t="s">
        <v>46</v>
      </c>
      <c r="D166" t="s">
        <v>349</v>
      </c>
      <c r="E166" t="s">
        <v>48</v>
      </c>
    </row>
    <row r="167" spans="1:5" ht="15.75" x14ac:dyDescent="0.5">
      <c r="B167" t="s">
        <v>45</v>
      </c>
      <c r="C167" t="s">
        <v>54</v>
      </c>
      <c r="D167" t="s">
        <v>350</v>
      </c>
      <c r="E167" t="s">
        <v>48</v>
      </c>
    </row>
    <row r="168" spans="1:5" ht="15.75" x14ac:dyDescent="0.5">
      <c r="B168" t="s">
        <v>45</v>
      </c>
      <c r="C168" t="s">
        <v>46</v>
      </c>
      <c r="D168" t="s">
        <v>352</v>
      </c>
      <c r="E168" t="s">
        <v>48</v>
      </c>
    </row>
    <row r="169" spans="1:5" ht="15.75" x14ac:dyDescent="0.5">
      <c r="B169" t="s">
        <v>45</v>
      </c>
      <c r="C169" t="s">
        <v>46</v>
      </c>
      <c r="D169" t="s">
        <v>353</v>
      </c>
      <c r="E169" t="s">
        <v>48</v>
      </c>
    </row>
    <row r="170" spans="1:5" ht="15.75" x14ac:dyDescent="0.5">
      <c r="B170" t="s">
        <v>94</v>
      </c>
      <c r="C170" t="s">
        <v>95</v>
      </c>
      <c r="D170" t="s">
        <v>354</v>
      </c>
      <c r="E170" t="s">
        <v>48</v>
      </c>
    </row>
    <row r="171" spans="1:5" ht="15.75" x14ac:dyDescent="0.5">
      <c r="B171" t="s">
        <v>195</v>
      </c>
      <c r="C171" t="s">
        <v>358</v>
      </c>
      <c r="D171" t="s">
        <v>359</v>
      </c>
      <c r="E171" t="s">
        <v>48</v>
      </c>
    </row>
    <row r="172" spans="1:5" ht="15.75" x14ac:dyDescent="0.5">
      <c r="B172" t="s">
        <v>321</v>
      </c>
      <c r="C172" t="s">
        <v>165</v>
      </c>
      <c r="D172" t="s">
        <v>360</v>
      </c>
      <c r="E172" t="s">
        <v>48</v>
      </c>
    </row>
    <row r="173" spans="1:5" ht="15.75" x14ac:dyDescent="0.5">
      <c r="B173" t="s">
        <v>321</v>
      </c>
      <c r="C173" t="s">
        <v>165</v>
      </c>
      <c r="D173" t="s">
        <v>361</v>
      </c>
      <c r="E173" t="s">
        <v>48</v>
      </c>
    </row>
    <row r="174" spans="1:5" ht="15.75" x14ac:dyDescent="0.5">
      <c r="A174" t="s">
        <v>171</v>
      </c>
      <c r="B174" t="s">
        <v>321</v>
      </c>
      <c r="C174" t="s">
        <v>165</v>
      </c>
      <c r="D174" t="s">
        <v>362</v>
      </c>
      <c r="E174" t="s">
        <v>48</v>
      </c>
    </row>
    <row r="175" spans="1:5" ht="15.75" x14ac:dyDescent="0.5">
      <c r="B175" t="s">
        <v>195</v>
      </c>
      <c r="C175" t="s">
        <v>358</v>
      </c>
      <c r="D175" t="s">
        <v>363</v>
      </c>
      <c r="E175" t="s">
        <v>48</v>
      </c>
    </row>
    <row r="176" spans="1:5" ht="15.75" x14ac:dyDescent="0.5">
      <c r="A176" t="s">
        <v>171</v>
      </c>
      <c r="B176" t="s">
        <v>321</v>
      </c>
      <c r="C176" t="s">
        <v>165</v>
      </c>
      <c r="D176" t="s">
        <v>364</v>
      </c>
      <c r="E176" t="s">
        <v>48</v>
      </c>
    </row>
    <row r="177" spans="2:8" ht="15.75" x14ac:dyDescent="0.5">
      <c r="B177" t="s">
        <v>321</v>
      </c>
      <c r="C177" t="s">
        <v>165</v>
      </c>
      <c r="D177" t="s">
        <v>365</v>
      </c>
      <c r="E177" t="s">
        <v>48</v>
      </c>
    </row>
    <row r="178" spans="2:8" ht="15.75" x14ac:dyDescent="0.5">
      <c r="B178" t="s">
        <v>366</v>
      </c>
      <c r="C178" t="s">
        <v>46</v>
      </c>
      <c r="D178" t="s">
        <v>367</v>
      </c>
      <c r="E178" t="s">
        <v>48</v>
      </c>
    </row>
    <row r="179" spans="2:8" ht="15.75" x14ac:dyDescent="0.5">
      <c r="B179" t="s">
        <v>45</v>
      </c>
      <c r="C179" t="s">
        <v>46</v>
      </c>
      <c r="D179" t="s">
        <v>368</v>
      </c>
      <c r="E179" t="s">
        <v>48</v>
      </c>
    </row>
    <row r="180" spans="2:8" ht="15.75" x14ac:dyDescent="0.5">
      <c r="B180" t="s">
        <v>45</v>
      </c>
      <c r="C180" t="s">
        <v>54</v>
      </c>
      <c r="D180" t="s">
        <v>369</v>
      </c>
      <c r="E180" t="s">
        <v>48</v>
      </c>
      <c r="G180" t="s">
        <v>125</v>
      </c>
    </row>
    <row r="181" spans="2:8" ht="15.75" x14ac:dyDescent="0.5">
      <c r="B181" t="s">
        <v>45</v>
      </c>
      <c r="C181" t="s">
        <v>46</v>
      </c>
      <c r="D181" t="s">
        <v>370</v>
      </c>
      <c r="E181" t="s">
        <v>48</v>
      </c>
      <c r="G181" t="s">
        <v>247</v>
      </c>
    </row>
    <row r="182" spans="2:8" ht="15.75" x14ac:dyDescent="0.5">
      <c r="B182" t="s">
        <v>45</v>
      </c>
      <c r="C182" t="s">
        <v>132</v>
      </c>
      <c r="D182" t="s">
        <v>371</v>
      </c>
      <c r="E182" t="s">
        <v>48</v>
      </c>
      <c r="F182" t="s">
        <v>252</v>
      </c>
      <c r="H182" t="s">
        <v>18</v>
      </c>
    </row>
    <row r="183" spans="2:8" ht="15.75" x14ac:dyDescent="0.5">
      <c r="B183" t="s">
        <v>45</v>
      </c>
      <c r="C183" t="s">
        <v>46</v>
      </c>
      <c r="D183" t="s">
        <v>372</v>
      </c>
      <c r="E183" t="s">
        <v>48</v>
      </c>
      <c r="G183" t="s">
        <v>247</v>
      </c>
    </row>
    <row r="184" spans="2:8" ht="15.75" x14ac:dyDescent="0.5">
      <c r="B184" t="s">
        <v>45</v>
      </c>
      <c r="C184" t="s">
        <v>46</v>
      </c>
      <c r="D184" t="s">
        <v>373</v>
      </c>
      <c r="E184" t="s">
        <v>48</v>
      </c>
      <c r="G184" t="s">
        <v>157</v>
      </c>
    </row>
    <row r="185" spans="2:8" ht="15.75" x14ac:dyDescent="0.5">
      <c r="B185" t="s">
        <v>45</v>
      </c>
      <c r="C185" t="s">
        <v>46</v>
      </c>
      <c r="D185" t="s">
        <v>374</v>
      </c>
      <c r="E185" t="s">
        <v>48</v>
      </c>
    </row>
    <row r="186" spans="2:8" ht="15.75" x14ac:dyDescent="0.5">
      <c r="B186" t="s">
        <v>45</v>
      </c>
      <c r="C186" t="s">
        <v>46</v>
      </c>
      <c r="D186" t="s">
        <v>375</v>
      </c>
      <c r="E186" t="s">
        <v>48</v>
      </c>
    </row>
    <row r="187" spans="2:8" ht="15.75" x14ac:dyDescent="0.5">
      <c r="B187" t="s">
        <v>45</v>
      </c>
      <c r="C187" t="s">
        <v>46</v>
      </c>
      <c r="D187" t="s">
        <v>376</v>
      </c>
      <c r="E187" t="s">
        <v>48</v>
      </c>
    </row>
    <row r="188" spans="2:8" ht="15.75" x14ac:dyDescent="0.5">
      <c r="B188" t="s">
        <v>45</v>
      </c>
      <c r="C188" t="s">
        <v>147</v>
      </c>
      <c r="D188" t="s">
        <v>377</v>
      </c>
      <c r="E188" t="s">
        <v>48</v>
      </c>
    </row>
    <row r="189" spans="2:8" ht="15.75" x14ac:dyDescent="0.5">
      <c r="B189" t="s">
        <v>45</v>
      </c>
      <c r="C189" t="s">
        <v>46</v>
      </c>
      <c r="D189" t="s">
        <v>378</v>
      </c>
      <c r="E189" t="s">
        <v>48</v>
      </c>
      <c r="G189" t="s">
        <v>129</v>
      </c>
    </row>
    <row r="190" spans="2:8" ht="15.75" x14ac:dyDescent="0.5">
      <c r="B190" t="s">
        <v>45</v>
      </c>
      <c r="C190" t="s">
        <v>46</v>
      </c>
      <c r="D190" t="s">
        <v>379</v>
      </c>
      <c r="E190" t="s">
        <v>48</v>
      </c>
    </row>
    <row r="191" spans="2:8" ht="15.75" x14ac:dyDescent="0.5">
      <c r="B191" t="s">
        <v>45</v>
      </c>
      <c r="C191" t="s">
        <v>46</v>
      </c>
      <c r="D191" t="s">
        <v>380</v>
      </c>
      <c r="E191" t="s">
        <v>48</v>
      </c>
    </row>
    <row r="192" spans="2:8" ht="15.75" x14ac:dyDescent="0.5">
      <c r="B192" t="s">
        <v>45</v>
      </c>
      <c r="C192" t="s">
        <v>46</v>
      </c>
      <c r="D192" t="s">
        <v>381</v>
      </c>
      <c r="E192" t="s">
        <v>48</v>
      </c>
    </row>
    <row r="193" spans="2:7" ht="15.75" x14ac:dyDescent="0.5">
      <c r="B193" t="s">
        <v>45</v>
      </c>
      <c r="C193" t="s">
        <v>54</v>
      </c>
      <c r="D193" t="s">
        <v>382</v>
      </c>
      <c r="E193" t="s">
        <v>48</v>
      </c>
    </row>
    <row r="194" spans="2:7" ht="15.75" x14ac:dyDescent="0.5">
      <c r="B194" t="s">
        <v>45</v>
      </c>
      <c r="C194" t="s">
        <v>108</v>
      </c>
      <c r="D194" t="s">
        <v>385</v>
      </c>
      <c r="E194" t="s">
        <v>48</v>
      </c>
      <c r="G194" t="s">
        <v>153</v>
      </c>
    </row>
    <row r="195" spans="2:7" ht="15.75" x14ac:dyDescent="0.5">
      <c r="B195" t="s">
        <v>45</v>
      </c>
      <c r="C195" t="s">
        <v>46</v>
      </c>
      <c r="D195" t="s">
        <v>386</v>
      </c>
      <c r="E195" t="s">
        <v>48</v>
      </c>
      <c r="F195" t="s">
        <v>71</v>
      </c>
    </row>
    <row r="196" spans="2:7" ht="15.75" x14ac:dyDescent="0.5">
      <c r="B196" t="s">
        <v>45</v>
      </c>
      <c r="C196" t="s">
        <v>46</v>
      </c>
      <c r="D196" t="s">
        <v>387</v>
      </c>
      <c r="E196" t="s">
        <v>48</v>
      </c>
    </row>
    <row r="197" spans="2:7" ht="15.75" x14ac:dyDescent="0.5">
      <c r="B197" t="s">
        <v>45</v>
      </c>
      <c r="C197" t="s">
        <v>46</v>
      </c>
      <c r="D197" t="s">
        <v>388</v>
      </c>
      <c r="E197" t="s">
        <v>48</v>
      </c>
    </row>
    <row r="198" spans="2:7" ht="15.75" x14ac:dyDescent="0.5">
      <c r="B198" t="s">
        <v>45</v>
      </c>
      <c r="C198" t="s">
        <v>46</v>
      </c>
      <c r="D198" t="s">
        <v>389</v>
      </c>
      <c r="E198" t="s">
        <v>48</v>
      </c>
    </row>
    <row r="199" spans="2:7" ht="15.75" x14ac:dyDescent="0.5">
      <c r="B199" t="s">
        <v>45</v>
      </c>
      <c r="C199" t="s">
        <v>390</v>
      </c>
      <c r="D199" t="s">
        <v>391</v>
      </c>
      <c r="E199" t="s">
        <v>48</v>
      </c>
    </row>
    <row r="200" spans="2:7" ht="15.75" x14ac:dyDescent="0.5">
      <c r="B200" t="s">
        <v>45</v>
      </c>
      <c r="C200" t="s">
        <v>187</v>
      </c>
      <c r="D200" t="s">
        <v>393</v>
      </c>
      <c r="E200" t="s">
        <v>48</v>
      </c>
    </row>
    <row r="201" spans="2:7" ht="15.75" x14ac:dyDescent="0.5">
      <c r="B201" t="s">
        <v>45</v>
      </c>
      <c r="C201" t="s">
        <v>187</v>
      </c>
      <c r="D201" t="s">
        <v>394</v>
      </c>
      <c r="E201" t="s">
        <v>48</v>
      </c>
    </row>
    <row r="202" spans="2:7" ht="15.75" x14ac:dyDescent="0.5">
      <c r="B202" t="s">
        <v>45</v>
      </c>
      <c r="C202" t="s">
        <v>108</v>
      </c>
      <c r="D202" t="s">
        <v>395</v>
      </c>
      <c r="E202" t="s">
        <v>48</v>
      </c>
      <c r="F202" t="s">
        <v>71</v>
      </c>
    </row>
    <row r="203" spans="2:7" ht="15.75" x14ac:dyDescent="0.5">
      <c r="B203" t="s">
        <v>45</v>
      </c>
      <c r="C203" t="s">
        <v>132</v>
      </c>
      <c r="D203" t="s">
        <v>396</v>
      </c>
      <c r="E203" t="s">
        <v>48</v>
      </c>
    </row>
    <row r="204" spans="2:7" ht="15.75" x14ac:dyDescent="0.5">
      <c r="B204" t="s">
        <v>45</v>
      </c>
      <c r="C204" t="s">
        <v>54</v>
      </c>
      <c r="D204" t="s">
        <v>397</v>
      </c>
      <c r="E204" t="s">
        <v>48</v>
      </c>
    </row>
    <row r="205" spans="2:7" ht="15.75" x14ac:dyDescent="0.5">
      <c r="B205" t="s">
        <v>45</v>
      </c>
      <c r="C205" t="s">
        <v>54</v>
      </c>
      <c r="D205" t="s">
        <v>398</v>
      </c>
      <c r="E205" t="s">
        <v>48</v>
      </c>
    </row>
    <row r="206" spans="2:7" ht="15.75" x14ac:dyDescent="0.5">
      <c r="B206" t="s">
        <v>45</v>
      </c>
      <c r="C206" t="s">
        <v>46</v>
      </c>
      <c r="D206" t="s">
        <v>399</v>
      </c>
      <c r="E206" t="s">
        <v>48</v>
      </c>
    </row>
    <row r="207" spans="2:7" ht="15.75" x14ac:dyDescent="0.5">
      <c r="B207" t="s">
        <v>45</v>
      </c>
      <c r="C207" t="s">
        <v>88</v>
      </c>
      <c r="D207" t="s">
        <v>400</v>
      </c>
      <c r="E207" t="s">
        <v>48</v>
      </c>
      <c r="G207" t="s">
        <v>62</v>
      </c>
    </row>
    <row r="208" spans="2:7" ht="15.75" x14ac:dyDescent="0.5">
      <c r="B208" t="s">
        <v>45</v>
      </c>
      <c r="C208" t="s">
        <v>46</v>
      </c>
      <c r="D208" t="s">
        <v>402</v>
      </c>
      <c r="E208" t="s">
        <v>48</v>
      </c>
    </row>
    <row r="209" spans="1:9" ht="15.75" x14ac:dyDescent="0.5">
      <c r="B209" t="s">
        <v>45</v>
      </c>
      <c r="C209" t="s">
        <v>46</v>
      </c>
      <c r="D209" t="s">
        <v>403</v>
      </c>
      <c r="E209" t="s">
        <v>48</v>
      </c>
    </row>
    <row r="210" spans="1:9" ht="15.75" x14ac:dyDescent="0.5">
      <c r="B210" t="s">
        <v>45</v>
      </c>
      <c r="C210" t="s">
        <v>46</v>
      </c>
      <c r="D210" t="s">
        <v>404</v>
      </c>
      <c r="E210" t="s">
        <v>48</v>
      </c>
    </row>
    <row r="211" spans="1:9" ht="15.75" x14ac:dyDescent="0.5">
      <c r="B211" t="s">
        <v>45</v>
      </c>
      <c r="C211" t="s">
        <v>46</v>
      </c>
      <c r="D211" t="s">
        <v>405</v>
      </c>
      <c r="E211" t="s">
        <v>48</v>
      </c>
    </row>
    <row r="212" spans="1:9" ht="15.75" x14ac:dyDescent="0.5">
      <c r="B212" t="s">
        <v>45</v>
      </c>
      <c r="C212" t="s">
        <v>54</v>
      </c>
      <c r="D212" t="s">
        <v>406</v>
      </c>
      <c r="E212" t="s">
        <v>48</v>
      </c>
    </row>
    <row r="213" spans="1:9" ht="15.75" x14ac:dyDescent="0.5">
      <c r="B213" t="s">
        <v>45</v>
      </c>
      <c r="C213" t="s">
        <v>46</v>
      </c>
      <c r="D213" t="s">
        <v>407</v>
      </c>
      <c r="E213" t="s">
        <v>48</v>
      </c>
    </row>
    <row r="214" spans="1:9" ht="15.75" x14ac:dyDescent="0.5">
      <c r="B214" t="s">
        <v>45</v>
      </c>
      <c r="C214" t="s">
        <v>46</v>
      </c>
      <c r="D214" t="s">
        <v>408</v>
      </c>
      <c r="E214" t="s">
        <v>48</v>
      </c>
    </row>
    <row r="215" spans="1:9" ht="15.75" x14ac:dyDescent="0.5">
      <c r="B215" t="s">
        <v>45</v>
      </c>
      <c r="C215" t="s">
        <v>54</v>
      </c>
      <c r="D215" t="s">
        <v>409</v>
      </c>
      <c r="E215" t="s">
        <v>48</v>
      </c>
      <c r="F215" t="s">
        <v>65</v>
      </c>
    </row>
    <row r="216" spans="1:9" ht="15.75" x14ac:dyDescent="0.5">
      <c r="B216" t="s">
        <v>45</v>
      </c>
      <c r="C216" t="s">
        <v>46</v>
      </c>
      <c r="D216" t="s">
        <v>410</v>
      </c>
      <c r="E216" t="s">
        <v>48</v>
      </c>
    </row>
    <row r="217" spans="1:9" ht="15.75" x14ac:dyDescent="0.5">
      <c r="B217" t="s">
        <v>45</v>
      </c>
      <c r="C217" t="s">
        <v>46</v>
      </c>
      <c r="D217" t="s">
        <v>411</v>
      </c>
      <c r="E217" t="s">
        <v>48</v>
      </c>
      <c r="F217" t="s">
        <v>65</v>
      </c>
    </row>
    <row r="218" spans="1:9" ht="15.75" x14ac:dyDescent="0.5">
      <c r="B218" t="s">
        <v>45</v>
      </c>
      <c r="C218" t="s">
        <v>46</v>
      </c>
      <c r="D218" t="s">
        <v>66</v>
      </c>
      <c r="E218" t="s">
        <v>67</v>
      </c>
      <c r="H218" t="s">
        <v>68</v>
      </c>
    </row>
    <row r="219" spans="1:9" ht="15.75" x14ac:dyDescent="0.5">
      <c r="B219" t="s">
        <v>45</v>
      </c>
      <c r="C219" t="s">
        <v>46</v>
      </c>
      <c r="D219" t="s">
        <v>69</v>
      </c>
      <c r="E219" t="s">
        <v>67</v>
      </c>
      <c r="H219" t="s">
        <v>18</v>
      </c>
      <c r="I219">
        <v>50</v>
      </c>
    </row>
    <row r="220" spans="1:9" ht="15.75" x14ac:dyDescent="0.5">
      <c r="B220" t="s">
        <v>45</v>
      </c>
      <c r="C220" t="s">
        <v>46</v>
      </c>
      <c r="D220" t="s">
        <v>72</v>
      </c>
      <c r="E220" t="s">
        <v>67</v>
      </c>
      <c r="H220" t="s">
        <v>68</v>
      </c>
      <c r="I220">
        <v>80</v>
      </c>
    </row>
    <row r="221" spans="1:9" ht="15.75" x14ac:dyDescent="0.5">
      <c r="B221" t="s">
        <v>45</v>
      </c>
      <c r="C221" t="s">
        <v>46</v>
      </c>
      <c r="D221" t="s">
        <v>73</v>
      </c>
      <c r="E221" t="s">
        <v>67</v>
      </c>
    </row>
    <row r="222" spans="1:9" ht="15.75" x14ac:dyDescent="0.5">
      <c r="B222" t="s">
        <v>45</v>
      </c>
      <c r="C222" t="s">
        <v>46</v>
      </c>
      <c r="D222" t="s">
        <v>107</v>
      </c>
      <c r="E222" t="s">
        <v>67</v>
      </c>
      <c r="F222" t="s">
        <v>71</v>
      </c>
      <c r="H222" t="s">
        <v>18</v>
      </c>
      <c r="I222">
        <v>80</v>
      </c>
    </row>
    <row r="223" spans="1:9" ht="15.75" x14ac:dyDescent="0.5">
      <c r="A223" t="s">
        <v>169</v>
      </c>
      <c r="B223" t="s">
        <v>45</v>
      </c>
      <c r="C223" t="s">
        <v>46</v>
      </c>
      <c r="D223" t="s">
        <v>170</v>
      </c>
      <c r="E223" t="s">
        <v>67</v>
      </c>
      <c r="G223" t="s">
        <v>153</v>
      </c>
    </row>
    <row r="224" spans="1:9" ht="15.75" x14ac:dyDescent="0.5">
      <c r="B224" t="s">
        <v>45</v>
      </c>
      <c r="C224" t="s">
        <v>46</v>
      </c>
      <c r="D224" t="s">
        <v>175</v>
      </c>
      <c r="E224" t="s">
        <v>67</v>
      </c>
      <c r="G224" t="s">
        <v>125</v>
      </c>
    </row>
    <row r="225" spans="1:10" ht="15.75" x14ac:dyDescent="0.5">
      <c r="B225" t="s">
        <v>45</v>
      </c>
      <c r="C225" t="s">
        <v>46</v>
      </c>
      <c r="D225" t="s">
        <v>180</v>
      </c>
      <c r="E225" t="s">
        <v>67</v>
      </c>
      <c r="G225" t="s">
        <v>125</v>
      </c>
      <c r="H225" t="s">
        <v>18</v>
      </c>
    </row>
    <row r="226" spans="1:10" ht="15.75" x14ac:dyDescent="0.5">
      <c r="A226" t="s">
        <v>84</v>
      </c>
      <c r="B226" t="s">
        <v>45</v>
      </c>
      <c r="C226" t="s">
        <v>46</v>
      </c>
      <c r="D226" t="s">
        <v>198</v>
      </c>
      <c r="E226" t="s">
        <v>67</v>
      </c>
      <c r="H226" t="s">
        <v>68</v>
      </c>
      <c r="I226">
        <v>30</v>
      </c>
    </row>
    <row r="227" spans="1:10" ht="15.75" x14ac:dyDescent="0.5">
      <c r="B227" t="s">
        <v>45</v>
      </c>
      <c r="C227" t="s">
        <v>46</v>
      </c>
      <c r="D227" t="s">
        <v>199</v>
      </c>
      <c r="E227" t="s">
        <v>67</v>
      </c>
      <c r="H227" t="s">
        <v>18</v>
      </c>
    </row>
    <row r="228" spans="1:10" ht="15.75" x14ac:dyDescent="0.5">
      <c r="B228" t="s">
        <v>45</v>
      </c>
      <c r="C228" t="s">
        <v>187</v>
      </c>
      <c r="D228" t="s">
        <v>200</v>
      </c>
      <c r="E228" t="s">
        <v>67</v>
      </c>
      <c r="H228" t="s">
        <v>18</v>
      </c>
      <c r="I228">
        <v>30</v>
      </c>
    </row>
    <row r="229" spans="1:10" ht="15.75" x14ac:dyDescent="0.5">
      <c r="B229" t="s">
        <v>45</v>
      </c>
      <c r="C229" t="s">
        <v>108</v>
      </c>
      <c r="D229" t="s">
        <v>201</v>
      </c>
      <c r="E229" t="s">
        <v>67</v>
      </c>
      <c r="H229" t="s">
        <v>68</v>
      </c>
    </row>
    <row r="230" spans="1:10" ht="15.75" x14ac:dyDescent="0.5">
      <c r="B230" t="s">
        <v>45</v>
      </c>
      <c r="C230" t="s">
        <v>46</v>
      </c>
      <c r="D230" t="s">
        <v>202</v>
      </c>
      <c r="E230" t="s">
        <v>67</v>
      </c>
      <c r="H230" t="s">
        <v>18</v>
      </c>
    </row>
    <row r="231" spans="1:10" ht="15.75" x14ac:dyDescent="0.5">
      <c r="A231" t="s">
        <v>84</v>
      </c>
      <c r="B231" t="s">
        <v>45</v>
      </c>
      <c r="C231" t="s">
        <v>46</v>
      </c>
      <c r="D231" t="s">
        <v>203</v>
      </c>
      <c r="E231" t="s">
        <v>67</v>
      </c>
      <c r="H231" t="s">
        <v>18</v>
      </c>
      <c r="I231">
        <v>30</v>
      </c>
    </row>
    <row r="232" spans="1:10" ht="15.75" x14ac:dyDescent="0.5">
      <c r="B232" t="s">
        <v>45</v>
      </c>
      <c r="C232" t="s">
        <v>46</v>
      </c>
      <c r="D232" t="s">
        <v>204</v>
      </c>
      <c r="E232" t="s">
        <v>67</v>
      </c>
      <c r="H232" t="s">
        <v>18</v>
      </c>
      <c r="I232">
        <v>50</v>
      </c>
    </row>
    <row r="233" spans="1:10" ht="15.75" x14ac:dyDescent="0.5">
      <c r="B233" t="s">
        <v>45</v>
      </c>
      <c r="C233" t="s">
        <v>46</v>
      </c>
      <c r="D233" t="s">
        <v>205</v>
      </c>
      <c r="E233" t="s">
        <v>67</v>
      </c>
      <c r="H233" t="s">
        <v>18</v>
      </c>
      <c r="I233">
        <v>30</v>
      </c>
    </row>
    <row r="234" spans="1:10" ht="15.75" x14ac:dyDescent="0.5">
      <c r="B234" t="s">
        <v>45</v>
      </c>
      <c r="C234" t="s">
        <v>118</v>
      </c>
      <c r="D234" t="s">
        <v>206</v>
      </c>
      <c r="E234" t="s">
        <v>67</v>
      </c>
      <c r="G234" t="s">
        <v>207</v>
      </c>
      <c r="H234" t="s">
        <v>18</v>
      </c>
      <c r="I234">
        <v>50</v>
      </c>
    </row>
    <row r="235" spans="1:10" ht="15.75" x14ac:dyDescent="0.5">
      <c r="B235" t="s">
        <v>45</v>
      </c>
      <c r="C235" t="s">
        <v>208</v>
      </c>
      <c r="D235" t="s">
        <v>209</v>
      </c>
      <c r="E235" t="s">
        <v>67</v>
      </c>
      <c r="H235" t="s">
        <v>18</v>
      </c>
    </row>
    <row r="236" spans="1:10" ht="15.75" x14ac:dyDescent="0.5">
      <c r="B236" t="s">
        <v>45</v>
      </c>
      <c r="C236" t="s">
        <v>187</v>
      </c>
      <c r="D236" t="s">
        <v>210</v>
      </c>
      <c r="E236" t="s">
        <v>67</v>
      </c>
      <c r="H236" t="s">
        <v>18</v>
      </c>
      <c r="I236">
        <v>30</v>
      </c>
    </row>
    <row r="237" spans="1:10" ht="15.75" x14ac:dyDescent="0.5">
      <c r="B237" t="s">
        <v>45</v>
      </c>
      <c r="C237" t="s">
        <v>46</v>
      </c>
      <c r="D237" t="s">
        <v>211</v>
      </c>
      <c r="E237" t="s">
        <v>67</v>
      </c>
      <c r="H237" t="s">
        <v>68</v>
      </c>
      <c r="I237">
        <v>30</v>
      </c>
      <c r="J237" t="s">
        <v>212</v>
      </c>
    </row>
    <row r="238" spans="1:10" ht="15.75" x14ac:dyDescent="0.5">
      <c r="B238" t="s">
        <v>45</v>
      </c>
      <c r="C238" t="s">
        <v>54</v>
      </c>
      <c r="D238" t="s">
        <v>215</v>
      </c>
      <c r="E238" t="s">
        <v>67</v>
      </c>
      <c r="H238" t="s">
        <v>68</v>
      </c>
      <c r="J238" t="s">
        <v>216</v>
      </c>
    </row>
    <row r="239" spans="1:10" ht="15.75" x14ac:dyDescent="0.5">
      <c r="B239" t="s">
        <v>45</v>
      </c>
      <c r="C239" t="s">
        <v>46</v>
      </c>
      <c r="D239" t="s">
        <v>217</v>
      </c>
      <c r="E239" t="s">
        <v>67</v>
      </c>
      <c r="G239" t="s">
        <v>218</v>
      </c>
      <c r="H239" t="s">
        <v>18</v>
      </c>
      <c r="I239">
        <v>30</v>
      </c>
    </row>
    <row r="240" spans="1:10" ht="15.75" x14ac:dyDescent="0.5">
      <c r="B240" t="s">
        <v>219</v>
      </c>
      <c r="C240" t="s">
        <v>220</v>
      </c>
      <c r="D240" t="s">
        <v>221</v>
      </c>
      <c r="E240" t="s">
        <v>67</v>
      </c>
      <c r="H240" t="s">
        <v>18</v>
      </c>
      <c r="I240">
        <v>20</v>
      </c>
    </row>
    <row r="241" spans="1:10" ht="15.75" x14ac:dyDescent="0.5">
      <c r="B241" t="s">
        <v>45</v>
      </c>
      <c r="C241" t="s">
        <v>46</v>
      </c>
      <c r="D241" t="s">
        <v>222</v>
      </c>
      <c r="E241" t="s">
        <v>67</v>
      </c>
      <c r="G241" t="s">
        <v>218</v>
      </c>
      <c r="H241" t="s">
        <v>18</v>
      </c>
    </row>
    <row r="242" spans="1:10" ht="15.75" x14ac:dyDescent="0.5">
      <c r="B242" t="s">
        <v>45</v>
      </c>
      <c r="C242" t="s">
        <v>46</v>
      </c>
      <c r="D242" t="s">
        <v>223</v>
      </c>
      <c r="E242" t="s">
        <v>67</v>
      </c>
      <c r="H242" t="s">
        <v>18</v>
      </c>
    </row>
    <row r="243" spans="1:10" ht="15.75" x14ac:dyDescent="0.5">
      <c r="B243" t="s">
        <v>45</v>
      </c>
      <c r="C243" t="s">
        <v>46</v>
      </c>
      <c r="D243" t="s">
        <v>224</v>
      </c>
      <c r="E243" t="s">
        <v>67</v>
      </c>
      <c r="G243" t="s">
        <v>125</v>
      </c>
      <c r="H243" t="s">
        <v>18</v>
      </c>
      <c r="I243">
        <v>30</v>
      </c>
    </row>
    <row r="244" spans="1:10" ht="15.75" x14ac:dyDescent="0.5">
      <c r="B244" t="s">
        <v>45</v>
      </c>
      <c r="C244" t="s">
        <v>132</v>
      </c>
      <c r="D244" t="s">
        <v>227</v>
      </c>
      <c r="E244" t="s">
        <v>67</v>
      </c>
      <c r="H244" t="s">
        <v>18</v>
      </c>
      <c r="I244">
        <v>30</v>
      </c>
    </row>
    <row r="245" spans="1:10" ht="15.75" x14ac:dyDescent="0.5">
      <c r="B245" t="s">
        <v>45</v>
      </c>
      <c r="C245" t="s">
        <v>46</v>
      </c>
      <c r="D245" t="s">
        <v>229</v>
      </c>
      <c r="E245" t="s">
        <v>67</v>
      </c>
      <c r="H245" t="s">
        <v>68</v>
      </c>
    </row>
    <row r="246" spans="1:10" ht="15.75" x14ac:dyDescent="0.5">
      <c r="B246" t="s">
        <v>45</v>
      </c>
      <c r="C246" t="s">
        <v>54</v>
      </c>
      <c r="D246" t="s">
        <v>254</v>
      </c>
      <c r="E246" t="s">
        <v>67</v>
      </c>
      <c r="H246" t="s">
        <v>18</v>
      </c>
      <c r="I246">
        <v>50</v>
      </c>
      <c r="J246" t="s">
        <v>225</v>
      </c>
    </row>
    <row r="247" spans="1:10" ht="15.75" x14ac:dyDescent="0.5">
      <c r="B247" t="s">
        <v>45</v>
      </c>
      <c r="C247" t="s">
        <v>46</v>
      </c>
      <c r="D247" t="s">
        <v>255</v>
      </c>
      <c r="E247" t="s">
        <v>67</v>
      </c>
      <c r="H247" t="s">
        <v>18</v>
      </c>
      <c r="I247">
        <v>30</v>
      </c>
    </row>
    <row r="248" spans="1:10" ht="15.75" x14ac:dyDescent="0.5">
      <c r="B248" t="s">
        <v>45</v>
      </c>
      <c r="C248" t="s">
        <v>256</v>
      </c>
      <c r="D248" t="s">
        <v>257</v>
      </c>
      <c r="E248" t="s">
        <v>67</v>
      </c>
      <c r="G248" t="s">
        <v>218</v>
      </c>
      <c r="H248" t="s">
        <v>18</v>
      </c>
      <c r="I248">
        <v>50</v>
      </c>
      <c r="J248" t="s">
        <v>225</v>
      </c>
    </row>
    <row r="249" spans="1:10" ht="15.75" x14ac:dyDescent="0.5">
      <c r="B249" t="s">
        <v>45</v>
      </c>
      <c r="C249" t="s">
        <v>258</v>
      </c>
      <c r="D249" t="s">
        <v>259</v>
      </c>
      <c r="E249" t="s">
        <v>67</v>
      </c>
      <c r="G249" t="s">
        <v>218</v>
      </c>
      <c r="H249" t="s">
        <v>68</v>
      </c>
      <c r="I249">
        <v>30</v>
      </c>
      <c r="J249" t="s">
        <v>225</v>
      </c>
    </row>
    <row r="250" spans="1:10" ht="15.75" x14ac:dyDescent="0.5">
      <c r="A250" t="s">
        <v>84</v>
      </c>
      <c r="B250" t="s">
        <v>45</v>
      </c>
      <c r="C250" t="s">
        <v>46</v>
      </c>
      <c r="D250" t="s">
        <v>260</v>
      </c>
      <c r="E250" t="s">
        <v>67</v>
      </c>
      <c r="H250" t="s">
        <v>18</v>
      </c>
      <c r="I250">
        <v>20</v>
      </c>
    </row>
    <row r="251" spans="1:10" ht="15.75" x14ac:dyDescent="0.5">
      <c r="B251" t="s">
        <v>45</v>
      </c>
      <c r="C251" t="s">
        <v>196</v>
      </c>
      <c r="D251" t="s">
        <v>262</v>
      </c>
      <c r="E251" t="s">
        <v>67</v>
      </c>
      <c r="H251" t="s">
        <v>18</v>
      </c>
    </row>
    <row r="252" spans="1:10" ht="15.75" x14ac:dyDescent="0.5">
      <c r="B252" t="s">
        <v>45</v>
      </c>
      <c r="C252" t="s">
        <v>165</v>
      </c>
      <c r="D252" t="s">
        <v>264</v>
      </c>
      <c r="E252" t="s">
        <v>67</v>
      </c>
      <c r="H252" t="s">
        <v>68</v>
      </c>
      <c r="I252">
        <v>30</v>
      </c>
    </row>
    <row r="253" spans="1:10" ht="15.75" x14ac:dyDescent="0.5">
      <c r="B253" t="s">
        <v>45</v>
      </c>
      <c r="C253" t="s">
        <v>46</v>
      </c>
      <c r="D253" t="s">
        <v>265</v>
      </c>
      <c r="E253" t="s">
        <v>67</v>
      </c>
      <c r="G253" t="s">
        <v>207</v>
      </c>
      <c r="H253" t="s">
        <v>68</v>
      </c>
      <c r="I253">
        <v>30</v>
      </c>
    </row>
    <row r="254" spans="1:10" ht="15.75" x14ac:dyDescent="0.5">
      <c r="A254" t="s">
        <v>84</v>
      </c>
      <c r="B254" t="s">
        <v>94</v>
      </c>
      <c r="C254" t="s">
        <v>268</v>
      </c>
      <c r="D254" t="s">
        <v>269</v>
      </c>
      <c r="E254" t="s">
        <v>67</v>
      </c>
      <c r="H254" t="s">
        <v>68</v>
      </c>
      <c r="I254">
        <v>20</v>
      </c>
    </row>
    <row r="255" spans="1:10" ht="15.75" x14ac:dyDescent="0.5">
      <c r="B255" t="s">
        <v>45</v>
      </c>
      <c r="C255" t="s">
        <v>132</v>
      </c>
      <c r="D255" t="s">
        <v>271</v>
      </c>
      <c r="E255" t="s">
        <v>67</v>
      </c>
      <c r="H255" t="s">
        <v>68</v>
      </c>
      <c r="I255">
        <v>30</v>
      </c>
    </row>
    <row r="256" spans="1:10" ht="15.75" x14ac:dyDescent="0.5">
      <c r="B256" t="s">
        <v>45</v>
      </c>
      <c r="C256" t="s">
        <v>46</v>
      </c>
      <c r="D256" t="s">
        <v>273</v>
      </c>
      <c r="E256" t="s">
        <v>67</v>
      </c>
      <c r="H256" t="s">
        <v>68</v>
      </c>
      <c r="I256">
        <v>50</v>
      </c>
    </row>
    <row r="257" spans="1:11" ht="15.75" x14ac:dyDescent="0.5">
      <c r="B257" t="s">
        <v>45</v>
      </c>
      <c r="C257" t="s">
        <v>46</v>
      </c>
      <c r="D257" t="s">
        <v>274</v>
      </c>
      <c r="E257" t="s">
        <v>67</v>
      </c>
      <c r="G257" t="s">
        <v>275</v>
      </c>
      <c r="H257" t="s">
        <v>68</v>
      </c>
      <c r="I257">
        <v>80</v>
      </c>
    </row>
    <row r="258" spans="1:11" ht="15.75" x14ac:dyDescent="0.5">
      <c r="B258" t="s">
        <v>45</v>
      </c>
      <c r="C258" t="s">
        <v>54</v>
      </c>
      <c r="D258" t="s">
        <v>277</v>
      </c>
      <c r="E258" t="s">
        <v>67</v>
      </c>
      <c r="H258" t="s">
        <v>18</v>
      </c>
      <c r="I258">
        <v>30</v>
      </c>
    </row>
    <row r="259" spans="1:11" ht="15.75" x14ac:dyDescent="0.5">
      <c r="A259" t="s">
        <v>278</v>
      </c>
      <c r="B259" t="s">
        <v>45</v>
      </c>
      <c r="C259" t="s">
        <v>46</v>
      </c>
      <c r="D259" t="s">
        <v>279</v>
      </c>
      <c r="E259" t="s">
        <v>67</v>
      </c>
      <c r="H259" t="s">
        <v>18</v>
      </c>
      <c r="I259">
        <v>50</v>
      </c>
    </row>
    <row r="260" spans="1:11" ht="15.75" x14ac:dyDescent="0.5">
      <c r="B260" t="s">
        <v>45</v>
      </c>
      <c r="C260" t="s">
        <v>46</v>
      </c>
      <c r="D260" t="s">
        <v>281</v>
      </c>
      <c r="E260" t="s">
        <v>67</v>
      </c>
      <c r="H260" t="s">
        <v>68</v>
      </c>
      <c r="I260">
        <v>30</v>
      </c>
      <c r="K260">
        <v>10</v>
      </c>
    </row>
    <row r="261" spans="1:11" ht="15.75" x14ac:dyDescent="0.5">
      <c r="A261" t="s">
        <v>84</v>
      </c>
      <c r="B261" t="s">
        <v>45</v>
      </c>
      <c r="C261" t="s">
        <v>54</v>
      </c>
      <c r="D261" t="s">
        <v>282</v>
      </c>
      <c r="E261" t="s">
        <v>67</v>
      </c>
      <c r="H261" t="s">
        <v>68</v>
      </c>
      <c r="I261">
        <v>30</v>
      </c>
    </row>
    <row r="262" spans="1:11" ht="15.75" x14ac:dyDescent="0.5">
      <c r="A262" t="s">
        <v>278</v>
      </c>
      <c r="B262" t="s">
        <v>283</v>
      </c>
      <c r="C262" t="s">
        <v>284</v>
      </c>
      <c r="D262" t="s">
        <v>285</v>
      </c>
      <c r="E262" t="s">
        <v>67</v>
      </c>
      <c r="H262" t="s">
        <v>68</v>
      </c>
      <c r="I262">
        <v>30</v>
      </c>
    </row>
    <row r="263" spans="1:11" ht="15.75" x14ac:dyDescent="0.5">
      <c r="B263" t="s">
        <v>45</v>
      </c>
      <c r="C263" t="s">
        <v>286</v>
      </c>
      <c r="D263" t="s">
        <v>287</v>
      </c>
      <c r="E263" t="s">
        <v>67</v>
      </c>
      <c r="G263" t="s">
        <v>288</v>
      </c>
      <c r="H263" t="s">
        <v>68</v>
      </c>
      <c r="I263">
        <v>20</v>
      </c>
    </row>
    <row r="264" spans="1:11" ht="15.75" x14ac:dyDescent="0.5">
      <c r="B264" t="s">
        <v>45</v>
      </c>
      <c r="C264" t="s">
        <v>289</v>
      </c>
      <c r="D264" t="s">
        <v>290</v>
      </c>
      <c r="E264" t="s">
        <v>67</v>
      </c>
      <c r="H264" t="s">
        <v>68</v>
      </c>
      <c r="I264">
        <v>10</v>
      </c>
    </row>
    <row r="265" spans="1:11" ht="15.75" x14ac:dyDescent="0.5">
      <c r="B265" t="s">
        <v>45</v>
      </c>
      <c r="C265" t="s">
        <v>46</v>
      </c>
      <c r="D265" t="s">
        <v>293</v>
      </c>
      <c r="E265" t="s">
        <v>67</v>
      </c>
      <c r="G265" t="s">
        <v>207</v>
      </c>
    </row>
    <row r="266" spans="1:11" ht="15.75" x14ac:dyDescent="0.5">
      <c r="B266" t="s">
        <v>45</v>
      </c>
      <c r="C266" t="s">
        <v>46</v>
      </c>
      <c r="D266" t="s">
        <v>294</v>
      </c>
      <c r="E266" t="s">
        <v>67</v>
      </c>
      <c r="H266" t="s">
        <v>18</v>
      </c>
    </row>
    <row r="267" spans="1:11" ht="15.75" x14ac:dyDescent="0.5">
      <c r="B267" t="s">
        <v>45</v>
      </c>
      <c r="C267" t="s">
        <v>46</v>
      </c>
      <c r="D267" t="s">
        <v>295</v>
      </c>
      <c r="E267" t="s">
        <v>67</v>
      </c>
      <c r="G267" t="s">
        <v>157</v>
      </c>
    </row>
    <row r="268" spans="1:11" ht="15.75" x14ac:dyDescent="0.5">
      <c r="B268" t="s">
        <v>45</v>
      </c>
      <c r="C268" t="s">
        <v>87</v>
      </c>
      <c r="D268" t="s">
        <v>302</v>
      </c>
      <c r="E268" t="s">
        <v>67</v>
      </c>
      <c r="H268" t="s">
        <v>18</v>
      </c>
    </row>
    <row r="269" spans="1:11" ht="15.75" x14ac:dyDescent="0.5">
      <c r="B269" t="s">
        <v>45</v>
      </c>
      <c r="C269" t="s">
        <v>46</v>
      </c>
      <c r="D269" t="s">
        <v>384</v>
      </c>
      <c r="E269" t="s">
        <v>67</v>
      </c>
      <c r="G269" t="s">
        <v>117</v>
      </c>
      <c r="H269" t="s">
        <v>68</v>
      </c>
    </row>
    <row r="270" spans="1:11" ht="15.75" x14ac:dyDescent="0.5">
      <c r="B270" t="s">
        <v>45</v>
      </c>
      <c r="C270" t="s">
        <v>46</v>
      </c>
      <c r="D270" t="s">
        <v>412</v>
      </c>
      <c r="E270" t="s">
        <v>67</v>
      </c>
      <c r="F270" t="s">
        <v>65</v>
      </c>
      <c r="H270" t="s">
        <v>18</v>
      </c>
      <c r="I270">
        <v>30</v>
      </c>
    </row>
  </sheetData>
  <autoFilter ref="A1:L270" xr:uid="{00000000-0009-0000-0000-000002000000}">
    <sortState xmlns:xlrd2="http://schemas.microsoft.com/office/spreadsheetml/2017/richdata2" ref="A2:L270">
      <sortCondition ref="E1:E270"/>
    </sortState>
  </autoFilter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Parameters</vt:lpstr>
      <vt:lpstr>Capacity</vt:lpstr>
      <vt:lpstr>GITHUB_EPICS</vt:lpstr>
      <vt:lpstr>EPICS_ESTIMATE</vt:lpstr>
      <vt:lpstr>EPICS_PERIOD</vt:lpstr>
      <vt:lpstr>EPICS_STATUS</vt:lpstr>
      <vt:lpstr>EPICS_TYPE</vt:lpstr>
      <vt:lpstr>PERIODS</vt:lpstr>
      <vt:lpstr>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Smyth</dc:creator>
  <cp:lastModifiedBy>Neil Smyth</cp:lastModifiedBy>
  <cp:revision>1</cp:revision>
  <dcterms:created xsi:type="dcterms:W3CDTF">2023-01-30T14:25:48Z</dcterms:created>
  <dcterms:modified xsi:type="dcterms:W3CDTF">2025-09-26T06:46:57Z</dcterms:modified>
  <dc:language>en-US</dc:language>
</cp:coreProperties>
</file>