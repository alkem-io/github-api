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eilsmyth/Documents/DevAlkemio/github-api/"/>
    </mc:Choice>
  </mc:AlternateContent>
  <xr:revisionPtr revIDLastSave="0" documentId="13_ncr:1_{5D0D81B3-B1D4-0F45-8C99-7A1EA04BFDF0}" xr6:coauthVersionLast="47" xr6:coauthVersionMax="47" xr10:uidLastSave="{00000000-0000-0000-0000-000000000000}"/>
  <bookViews>
    <workbookView xWindow="0" yWindow="680" windowWidth="30240" windowHeight="17180" tabRatio="500" activeTab="2" xr2:uid="{00000000-000D-0000-FFFF-FFFF00000000}"/>
  </bookViews>
  <sheets>
    <sheet name="Parameters" sheetId="1" r:id="rId1"/>
    <sheet name="Capacity" sheetId="2" r:id="rId2"/>
    <sheet name="GITHUB_EPICS" sheetId="4" r:id="rId3"/>
  </sheets>
  <definedNames>
    <definedName name="_xlnm._FilterDatabase" localSheetId="2" hidden="1">GITHUB_EPICS!$A$1:$L$157</definedName>
    <definedName name="EPICS_CLASSIFICATION">GITHUB_EPICS!$D$2:$D$499</definedName>
    <definedName name="EPICS_ESTIMATE">GITHUB_EPICS!$F$2:$F$499</definedName>
    <definedName name="EPICS_PERIOD">GITHUB_EPICS!$C$2:$C$499</definedName>
    <definedName name="EPICS_STATUS">GITHUB_EPICS!$B$2:$B$499</definedName>
    <definedName name="PERIODS">Parameters!$A$6:$A$44</definedName>
    <definedName name="PLANNING">Parameters!$A$6:$J$10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2" l="1"/>
  <c r="B7" i="1"/>
  <c r="B9" i="2"/>
  <c r="D9" i="2"/>
  <c r="F9" i="2"/>
  <c r="G9" i="2"/>
  <c r="H9" i="2"/>
  <c r="B10" i="1"/>
  <c r="E10" i="1" s="1"/>
  <c r="G10" i="1" s="1"/>
  <c r="I10" i="1" s="1"/>
  <c r="C9" i="2" s="1"/>
  <c r="G7" i="1"/>
  <c r="F5" i="2"/>
  <c r="G5" i="2"/>
  <c r="H5" i="2"/>
  <c r="G6" i="2"/>
  <c r="H6" i="2"/>
  <c r="F6" i="2"/>
  <c r="E7" i="1"/>
  <c r="B8" i="1"/>
  <c r="E8" i="1" s="1"/>
  <c r="G8" i="1" s="1"/>
  <c r="I8" i="1" s="1"/>
  <c r="E6" i="1"/>
  <c r="G6" i="1" s="1"/>
  <c r="I6" i="1" s="1"/>
  <c r="B9" i="1"/>
  <c r="E9" i="1" s="1"/>
  <c r="D6" i="2"/>
  <c r="D5" i="2"/>
  <c r="B6" i="2"/>
  <c r="H8" i="2"/>
  <c r="F7" i="2"/>
  <c r="E9" i="2" l="1"/>
  <c r="I9" i="2" s="1"/>
  <c r="E6" i="2"/>
  <c r="I6" i="2" s="1"/>
  <c r="E5" i="2"/>
  <c r="I5" i="2" s="1"/>
  <c r="F8" i="2"/>
  <c r="G8" i="2"/>
  <c r="H7" i="2"/>
  <c r="G7" i="2"/>
  <c r="C5" i="2"/>
  <c r="C7" i="2"/>
  <c r="I7" i="1"/>
  <c r="C6" i="2" s="1"/>
  <c r="G9" i="1"/>
  <c r="I9" i="1" s="1"/>
  <c r="C8" i="2" s="1"/>
  <c r="D7" i="2"/>
  <c r="D8" i="2"/>
  <c r="B8" i="2"/>
  <c r="B7" i="2"/>
  <c r="E8" i="2" l="1"/>
  <c r="I8" i="2" s="1"/>
  <c r="E7" i="2"/>
  <c r="I7" i="2" s="1"/>
</calcChain>
</file>

<file path=xl/sharedStrings.xml><?xml version="1.0" encoding="utf-8"?>
<sst xmlns="http://schemas.openxmlformats.org/spreadsheetml/2006/main" count="2153" uniqueCount="523">
  <si>
    <t>Capacity planning for Alkemio</t>
  </si>
  <si>
    <t>This tab provides teams' velocity and overall releases capacity overview based on the current version of 2015 release calendar.</t>
  </si>
  <si>
    <t>Time Period</t>
  </si>
  <si>
    <t>Time Period End</t>
  </si>
  <si>
    <t>Features allocation, %</t>
  </si>
  <si>
    <t>Development Sprints available</t>
  </si>
  <si>
    <t>Points / sprint</t>
  </si>
  <si>
    <t>Capacity</t>
  </si>
  <si>
    <t>Comments</t>
  </si>
  <si>
    <t>Delivery</t>
  </si>
  <si>
    <t>Planned</t>
  </si>
  <si>
    <t>Available</t>
  </si>
  <si>
    <t>Repository</t>
  </si>
  <si>
    <t>Labels</t>
  </si>
  <si>
    <t>Title</t>
  </si>
  <si>
    <t>Status</t>
  </si>
  <si>
    <t>Period</t>
  </si>
  <si>
    <t>Partner</t>
  </si>
  <si>
    <t>Sprint</t>
  </si>
  <si>
    <t>Assignees</t>
  </si>
  <si>
    <t>Done</t>
  </si>
  <si>
    <t>Not specified</t>
  </si>
  <si>
    <t>Milestone</t>
  </si>
  <si>
    <t>Note: update to have each period start / end adjustable</t>
  </si>
  <si>
    <t>Time Period Start</t>
  </si>
  <si>
    <t>Available Sprints</t>
  </si>
  <si>
    <t>Vacations / Done (sprints)</t>
  </si>
  <si>
    <t>Total</t>
  </si>
  <si>
    <t>2025 Q4</t>
  </si>
  <si>
    <t>2026 Q4</t>
  </si>
  <si>
    <t>2026 Q1</t>
  </si>
  <si>
    <t>2026 Q2</t>
  </si>
  <si>
    <t>2026 Q3</t>
  </si>
  <si>
    <t>Quartile</t>
  </si>
  <si>
    <t>Classification</t>
  </si>
  <si>
    <t>Type (Alkemio)</t>
  </si>
  <si>
    <t>Epic points</t>
  </si>
  <si>
    <t>Type</t>
  </si>
  <si>
    <t>New / Improvement</t>
  </si>
  <si>
    <t>Feature</t>
  </si>
  <si>
    <t>Feature 2</t>
  </si>
  <si>
    <t>Functional area</t>
  </si>
  <si>
    <t>Non-functional area</t>
  </si>
  <si>
    <t>Sprint points</t>
  </si>
  <si>
    <t>Release</t>
  </si>
  <si>
    <t>Order</t>
  </si>
  <si>
    <t>Epic points - remaining</t>
  </si>
  <si>
    <t>Epic points - done</t>
  </si>
  <si>
    <t>In progress</t>
  </si>
  <si>
    <t>Must haves</t>
  </si>
  <si>
    <t>Epic,Product Discussion</t>
  </si>
  <si>
    <t>2025-10-14</t>
  </si>
  <si>
    <t>Improved Confidence in the Platform</t>
  </si>
  <si>
    <t>alkemio</t>
  </si>
  <si>
    <t>Valentin Yanakiev,Donna</t>
  </si>
  <si>
    <t>VC: Enable prototyping</t>
  </si>
  <si>
    <t>USP/Product Definition</t>
  </si>
  <si>
    <t>Epic</t>
  </si>
  <si>
    <t>Virtual Contributors</t>
  </si>
  <si>
    <t>2025-09-30</t>
  </si>
  <si>
    <t>Vladimir Aleksiev</t>
  </si>
  <si>
    <t>Video calling services</t>
  </si>
  <si>
    <t>Bobby Kolev</t>
  </si>
  <si>
    <t>Callouts: updated UI/UX</t>
  </si>
  <si>
    <t>Carlos Cano</t>
  </si>
  <si>
    <t>QA: Client Test Suites setup (Spec-kit)</t>
  </si>
  <si>
    <t>Quality/Sustainability</t>
  </si>
  <si>
    <t>Epic,client</t>
  </si>
  <si>
    <t>Bobby Kolev,Evgeni Dimitrov</t>
  </si>
  <si>
    <t>Licensing: Freeze spaces</t>
  </si>
  <si>
    <t>Being elaborated</t>
  </si>
  <si>
    <t>Epic,Align Z-GP</t>
  </si>
  <si>
    <t>Products + Licensing</t>
  </si>
  <si>
    <t>QA Management Tooling + Plan (M)</t>
  </si>
  <si>
    <t>New</t>
  </si>
  <si>
    <t>Epic,QA</t>
  </si>
  <si>
    <t>Valentin Yanakiev</t>
  </si>
  <si>
    <t>Monitoring: Q4 errors investigation</t>
  </si>
  <si>
    <t>2025-10-28</t>
  </si>
  <si>
    <t>Bobby Kolev,Donna</t>
  </si>
  <si>
    <t>Client Automation (UI) (M)</t>
  </si>
  <si>
    <t>Penetration testing</t>
  </si>
  <si>
    <t>Templates</t>
  </si>
  <si>
    <t>Notifications</t>
  </si>
  <si>
    <t>Notifications: on the platform, per space</t>
  </si>
  <si>
    <t>Independent issues</t>
  </si>
  <si>
    <t>Epic,Atlas Team,Rhea Team</t>
  </si>
  <si>
    <t>Richer space: media gallery (M)</t>
  </si>
  <si>
    <t>Digicampus</t>
  </si>
  <si>
    <t>User to user messaging on the platform</t>
  </si>
  <si>
    <t>Authorization Checking Service; cleanup (Spec-kit)</t>
  </si>
  <si>
    <t>Being defined</t>
  </si>
  <si>
    <t>Vladimir Aleksiev,Svetoslav Petkov</t>
  </si>
  <si>
    <t>Notifications: Controls per space</t>
  </si>
  <si>
    <t>Bobby Kolev,Svetoslav Petkov</t>
  </si>
  <si>
    <t>Richer and visible interactions in Space</t>
  </si>
  <si>
    <t>Roadmap</t>
  </si>
  <si>
    <t>Notifications: Grouping + additional types</t>
  </si>
  <si>
    <t>Extend set of events for notifications (inapp + email)</t>
  </si>
  <si>
    <t>Epic,Rhea Team</t>
  </si>
  <si>
    <t>Carlos Cano,Neil Smyth</t>
  </si>
  <si>
    <t>Memo: Commenting &amp; other Refinements</t>
  </si>
  <si>
    <t>Polina Boneva</t>
  </si>
  <si>
    <t>Subscriptions on all Space pages</t>
  </si>
  <si>
    <t>Licensing</t>
  </si>
  <si>
    <t>Bucket: Search</t>
  </si>
  <si>
    <t>Transforming static contributors/subspaces blocks into callouts</t>
  </si>
  <si>
    <t>Epic,Product Team</t>
  </si>
  <si>
    <t>Templates: Interaction Space library and platform library</t>
  </si>
  <si>
    <t>Templates: Complete set</t>
  </si>
  <si>
    <t>Converter service: Picture to whiteboard</t>
  </si>
  <si>
    <t>Whiteboards</t>
  </si>
  <si>
    <t>operations,Epic,Infrastructure</t>
  </si>
  <si>
    <t>infrastructure-operations</t>
  </si>
  <si>
    <t>Activity Tracking: refresh of contributions monitoring</t>
  </si>
  <si>
    <t>Epic,Roadmap Discussion,Product Discussion</t>
  </si>
  <si>
    <t>Activity feeds</t>
  </si>
  <si>
    <t>Licensing: Account management</t>
  </si>
  <si>
    <t>React compiler: phase 1</t>
  </si>
  <si>
    <t>Epic,client,Rhea Team</t>
  </si>
  <si>
    <t>Client rendering + navigation</t>
  </si>
  <si>
    <t>Journey settings: challenge, community membership policy</t>
  </si>
  <si>
    <t>Defined</t>
  </si>
  <si>
    <t>Space mgmt</t>
  </si>
  <si>
    <t>Svetoslav Petkov</t>
  </si>
  <si>
    <t>Visible Errors to the user - Improve observability and feedback</t>
  </si>
  <si>
    <t>Epic,client,Product Discussion</t>
  </si>
  <si>
    <t>Neil Smyth</t>
  </si>
  <si>
    <t>Incident Response Protocol and Improvements</t>
  </si>
  <si>
    <t>Managing the user-organization + org roles relationship</t>
  </si>
  <si>
    <t>Optimizing Assets: Serve static files/CDN</t>
  </si>
  <si>
    <t>Command line utilities for non-devs</t>
  </si>
  <si>
    <t>Sharing/Collaborating with unauthenticated users 2.0: Callouts</t>
  </si>
  <si>
    <t>Callouts</t>
  </si>
  <si>
    <t>Guided user onboarding (M)</t>
  </si>
  <si>
    <t>Sharing/Collaborating on Whiteboards with unauthenticated users (L)</t>
  </si>
  <si>
    <t>Innovation Flow: settings and default callout content</t>
  </si>
  <si>
    <t>Multiple email support</t>
  </si>
  <si>
    <t>Follow a Space / Challenge / Opportunity</t>
  </si>
  <si>
    <t>Memo: Multi-user collaborative document</t>
  </si>
  <si>
    <t>2025 Q2</t>
  </si>
  <si>
    <t>Epic,server,Atlas Team</t>
  </si>
  <si>
    <t>2025-09-02</t>
  </si>
  <si>
    <t>Notifications Beta tester Improvements</t>
  </si>
  <si>
    <t>2025 Q3</t>
  </si>
  <si>
    <t>Epic,Atlas Team</t>
  </si>
  <si>
    <t>Backup Improvements</t>
  </si>
  <si>
    <t>2025-08-19</t>
  </si>
  <si>
    <t xml:space="preserve">Client: React 19 </t>
  </si>
  <si>
    <t>2025-08-05</t>
  </si>
  <si>
    <t>(Sub)Space Templates: Preview + Management</t>
  </si>
  <si>
    <t>Calendar events Bucket: Importing/Exporting; flexible time; show events from related sub/space</t>
  </si>
  <si>
    <t>Community mgmt</t>
  </si>
  <si>
    <t>External Penetration Testing [Q4 2025]</t>
  </si>
  <si>
    <t>Avans</t>
  </si>
  <si>
    <t>VC improving answers</t>
  </si>
  <si>
    <t>Client Tech debt: Q4 2025</t>
  </si>
  <si>
    <t>End-end tracking across welcome site &gt; platform</t>
  </si>
  <si>
    <t>Stress testing the platform</t>
  </si>
  <si>
    <t>operations,QA</t>
  </si>
  <si>
    <t>Working on Alkemio as an Organization</t>
  </si>
  <si>
    <t>Matrix scalability</t>
  </si>
  <si>
    <t>Scalable whiteboard collaboration service</t>
  </si>
  <si>
    <t>Epic,Roadmap Discussion</t>
  </si>
  <si>
    <t>Test suites: validate database content</t>
  </si>
  <si>
    <t>Epic,QA,Refinement,Atlas Team</t>
  </si>
  <si>
    <t>Space templates with hierarchy</t>
  </si>
  <si>
    <t>2025-07-08</t>
  </si>
  <si>
    <t>Authentication using EIDAS identity</t>
  </si>
  <si>
    <t>2025-06-10</t>
  </si>
  <si>
    <t>Connectivity Issues: New app version</t>
  </si>
  <si>
    <t>2025-05-27</t>
  </si>
  <si>
    <t>Fixing MD editor bugs</t>
  </si>
  <si>
    <t>Simone</t>
  </si>
  <si>
    <t>Synapse upgrade (Matrix scalability)</t>
  </si>
  <si>
    <t>2025-06-24</t>
  </si>
  <si>
    <t>Using L0 Space VCs throughout the entire Space hierarchy</t>
  </si>
  <si>
    <t>Callouts: refreshed create flow</t>
  </si>
  <si>
    <t>Richer interaction inside the Space</t>
  </si>
  <si>
    <t>Full Subspace templates</t>
  </si>
  <si>
    <t>Hidden Spaces</t>
  </si>
  <si>
    <t>Licensing: stabilization</t>
  </si>
  <si>
    <t>Epic,Roadmap Discussion,New this Sprint</t>
  </si>
  <si>
    <t>VCs: Data freshness</t>
  </si>
  <si>
    <t>Virtual Contributors: Q3 2024</t>
  </si>
  <si>
    <t>Flexible &amp; Templatable community roles</t>
  </si>
  <si>
    <t>Innovation Professional Support</t>
  </si>
  <si>
    <t>Epic: Engaging Platform Library</t>
  </si>
  <si>
    <t>product</t>
  </si>
  <si>
    <t>Maloe</t>
  </si>
  <si>
    <t>VC: Single user interaction</t>
  </si>
  <si>
    <t>Single subspace concept</t>
  </si>
  <si>
    <t>enhancement,Epic,client,Refinement,Rhea Team</t>
  </si>
  <si>
    <t>Evgeni Dimitrov,Simone</t>
  </si>
  <si>
    <t>Rebuild Prod Cluster</t>
  </si>
  <si>
    <t>2025-04-29</t>
  </si>
  <si>
    <t>Client: Space clean up, routing, deprecated</t>
  </si>
  <si>
    <t>2025-05-13</t>
  </si>
  <si>
    <t xml:space="preserve">VC: Transparency profile data </t>
  </si>
  <si>
    <t xml:space="preserve">VC: Service AI - community what has happened </t>
  </si>
  <si>
    <t>Bucket: VC improved functionality</t>
  </si>
  <si>
    <t>VC: Image generation</t>
  </si>
  <si>
    <t>VCs: Monitoring + operations</t>
  </si>
  <si>
    <t>VC: Expert engine space data retrieval + loading</t>
  </si>
  <si>
    <t>Elaborated</t>
  </si>
  <si>
    <t>VC: Controls on data sources</t>
  </si>
  <si>
    <t>Technical: ESM Module usage v1</t>
  </si>
  <si>
    <t>Encryption at rest</t>
  </si>
  <si>
    <t>Upgrade to NestJS 11 + ESM (as this was not supported by older nestjs)</t>
  </si>
  <si>
    <t>Client: time to first load</t>
  </si>
  <si>
    <t>Onboarding large user groups</t>
  </si>
  <si>
    <t>Refreshed Sign up flow supporting additional identities</t>
  </si>
  <si>
    <t xml:space="preserve">Account management for Start pages </t>
  </si>
  <si>
    <t>Infrastructure: Maintainability Q2 2025</t>
  </si>
  <si>
    <t>Test suite: VCs</t>
  </si>
  <si>
    <t>Epic,QA,Product Discussion</t>
  </si>
  <si>
    <t>Space layout</t>
  </si>
  <si>
    <t>Infra: split of prod from dev</t>
  </si>
  <si>
    <t>2025-04-15</t>
  </si>
  <si>
    <t>Excalidraw upgrade</t>
  </si>
  <si>
    <t>About dialog</t>
  </si>
  <si>
    <t>LibraFlowVC: Prototype</t>
  </si>
  <si>
    <t>Client: Material UI refresh 6.4</t>
  </si>
  <si>
    <t>LibreChat: Production deployment</t>
  </si>
  <si>
    <t>2025-04-01</t>
  </si>
  <si>
    <t>Client: Optimize user responsiveness</t>
  </si>
  <si>
    <t>Production: MySql cluster</t>
  </si>
  <si>
    <t>VC: Embeddings management</t>
  </si>
  <si>
    <t>VC: AI Server split from server</t>
  </si>
  <si>
    <t>VCs: Multiple context types</t>
  </si>
  <si>
    <t>Memberships: consistency, organization</t>
  </si>
  <si>
    <t>Create your own Space: GA</t>
  </si>
  <si>
    <t>Moving between levels: pro/de-moting (Sub)Spaces, moving callouts</t>
  </si>
  <si>
    <t>Account: Consistent settings per resource</t>
  </si>
  <si>
    <t>Epic,Product Team,Roadmap Discussion</t>
  </si>
  <si>
    <t>AI: Automated scope analysis for risk-based testing</t>
  </si>
  <si>
    <t>Visibility: clean, clear, and consistent</t>
  </si>
  <si>
    <t>Server: robustness + performance Q2 2025</t>
  </si>
  <si>
    <t>Release mgmt: Process + tooling</t>
  </si>
  <si>
    <t>Reporting: Active usage monitoring</t>
  </si>
  <si>
    <t>Usage insights</t>
  </si>
  <si>
    <t>Valentin Yanakiev,Svetoslav Petkov</t>
  </si>
  <si>
    <t>QA: Test Suites extensions Q4</t>
  </si>
  <si>
    <t>Evgeni Dimitrov</t>
  </si>
  <si>
    <t>Authentication: Identity Management</t>
  </si>
  <si>
    <t>API usage performance / monitoring / audit trail</t>
  </si>
  <si>
    <t>Whiteboards: Robustness + performance Q4</t>
  </si>
  <si>
    <t>Reporting: User flows</t>
  </si>
  <si>
    <t>Resource controls: demo, searchability, hidden etc</t>
  </si>
  <si>
    <t>Forum: ready for release notes</t>
  </si>
  <si>
    <t>QA on multi-user collaboration on whiteboard</t>
  </si>
  <si>
    <t>Epic,QA,Product Discussion,Rhea Team</t>
  </si>
  <si>
    <t>Whiteboard: history</t>
  </si>
  <si>
    <t>Platform Administration</t>
  </si>
  <si>
    <t>Organizations: Flexibility/Less formal + Simplify Unverified profiles</t>
  </si>
  <si>
    <t>Organization profile: Clear &amp; fit for purpose</t>
  </si>
  <si>
    <t>Bucket: Server performance</t>
  </si>
  <si>
    <t>Icebox</t>
  </si>
  <si>
    <t>UX Refinements - Round 3</t>
  </si>
  <si>
    <t>2023-03-14</t>
  </si>
  <si>
    <t>Release mgmt: release notes + changelog</t>
  </si>
  <si>
    <t>Bucket: Whiteboards</t>
  </si>
  <si>
    <t>Enhanced Sign up flow</t>
  </si>
  <si>
    <t>Sign in/up</t>
  </si>
  <si>
    <t>Homepage / Dashboard: Private workspace</t>
  </si>
  <si>
    <t>My Dashboard</t>
  </si>
  <si>
    <t>Storage: Improved handling of documents that are uploaded</t>
  </si>
  <si>
    <t>Config mgmt: Helm deployments for k8s</t>
  </si>
  <si>
    <t>Search: Add forum, and help content to the search results</t>
  </si>
  <si>
    <t>Search</t>
  </si>
  <si>
    <t>Search: Smart</t>
  </si>
  <si>
    <t>Development versions refresh</t>
  </si>
  <si>
    <t>Epic,server,Security</t>
  </si>
  <si>
    <t>Experience for unauthorized users</t>
  </si>
  <si>
    <t>Space structure</t>
  </si>
  <si>
    <t>Community Terms: phase 2</t>
  </si>
  <si>
    <t>Digicampus, Humanity Hub, The Hague</t>
  </si>
  <si>
    <t>Callouts: Sorting control</t>
  </si>
  <si>
    <t>2024 Q4</t>
  </si>
  <si>
    <t>VNG, Data Autonomy</t>
  </si>
  <si>
    <t>InnovationHubs without networking updates</t>
  </si>
  <si>
    <t>Custom Homepage</t>
  </si>
  <si>
    <t>Custom Homepage (former Innovation Hubs)</t>
  </si>
  <si>
    <t>Client: Developer documentation, roadmap</t>
  </si>
  <si>
    <t>epic,client</t>
  </si>
  <si>
    <t>client-web</t>
  </si>
  <si>
    <t>Dev env optimisation, incl InnovationHubs locally</t>
  </si>
  <si>
    <t>Smart Analytics to understand community needs/interests</t>
  </si>
  <si>
    <t>Licensing: Quota / resource management: Documents</t>
  </si>
  <si>
    <t>Refresh Contributors page</t>
  </si>
  <si>
    <t>Contributor Profiles</t>
  </si>
  <si>
    <t>Contributor visibility</t>
  </si>
  <si>
    <t>User controls on data visibility</t>
  </si>
  <si>
    <t>Bucket: Content editing improvements</t>
  </si>
  <si>
    <t>Improved content editing</t>
  </si>
  <si>
    <t>TNO</t>
  </si>
  <si>
    <t>2023-02-28</t>
  </si>
  <si>
    <t>Welcome dialog for new members of a Journey</t>
  </si>
  <si>
    <t>Bucket: Enhancing UX: Reducing Clicks and Scrolling</t>
  </si>
  <si>
    <t>Bucket: Enhancing UX: Guidance in current functionality</t>
  </si>
  <si>
    <t>Bucket: Forum improvements</t>
  </si>
  <si>
    <t>Bucket: Enhancing UX: Streamlining User Interaction with Existing Functionality</t>
  </si>
  <si>
    <t>Templates: consistency in structure</t>
  </si>
  <si>
    <t>Library</t>
  </si>
  <si>
    <t>UX: Sorting control on the client</t>
  </si>
  <si>
    <t>Epic,Product Team,client</t>
  </si>
  <si>
    <t>Bucket: Journey membership UX improvements</t>
  </si>
  <si>
    <t>Bucket: User login / membership improvements</t>
  </si>
  <si>
    <t>Reporting: geolocation, sign ups</t>
  </si>
  <si>
    <t>Knowledge: Suggested best practice templates</t>
  </si>
  <si>
    <t>Activity: Auditing for admins</t>
  </si>
  <si>
    <t>Bucket: Guidance: Improvements</t>
  </si>
  <si>
    <t>Help</t>
  </si>
  <si>
    <t>Choral Explanations</t>
  </si>
  <si>
    <t>TIP</t>
  </si>
  <si>
    <t>Callouts: additional contribution types</t>
  </si>
  <si>
    <t>Sharing metrics of Space activity with leads</t>
  </si>
  <si>
    <t>Reporting: (automated) sharing of reports , read only access</t>
  </si>
  <si>
    <t>Svetoslav Petkov,user</t>
  </si>
  <si>
    <t>VC: Interaction + quality</t>
  </si>
  <si>
    <t>Epic,server</t>
  </si>
  <si>
    <t>2024-06-18</t>
  </si>
  <si>
    <t>Virtual Contributors: Launch Campaign</t>
  </si>
  <si>
    <t>Activity tracking: deletion</t>
  </si>
  <si>
    <t>Bucket: Innovation Library Management, InnovationPack extensions</t>
  </si>
  <si>
    <t>Innovation Hubs: Rounding out Functionality</t>
  </si>
  <si>
    <t>Epic,A: Platform</t>
  </si>
  <si>
    <t>Branding at platform level</t>
  </si>
  <si>
    <t>Epic,Product Team,A: Platform</t>
  </si>
  <si>
    <t>Operations: Kratos Administration</t>
  </si>
  <si>
    <t>Multiple Language Support</t>
  </si>
  <si>
    <t>Collaboration templates</t>
  </si>
  <si>
    <t>Technical debt: Tags/Innovation flow template functionality redesign</t>
  </si>
  <si>
    <t>Innovation flow</t>
  </si>
  <si>
    <t>Performance + scalability testing</t>
  </si>
  <si>
    <t>Search results validated in service</t>
  </si>
  <si>
    <t>Innovation Flow: Definition to include goal/checklist/callouts</t>
  </si>
  <si>
    <t>Epic,Product Team,Product Discussion</t>
  </si>
  <si>
    <t>Security: Secret management</t>
  </si>
  <si>
    <t>security,Epic</t>
  </si>
  <si>
    <t>Integration of other online tools</t>
  </si>
  <si>
    <t>Space Visualization component</t>
  </si>
  <si>
    <t>Sharing: social media</t>
  </si>
  <si>
    <t>U2U Communications</t>
  </si>
  <si>
    <t>Ecosystem Analytics: prototype</t>
  </si>
  <si>
    <t>Connectivity Graph</t>
  </si>
  <si>
    <t>Search in Contribute page</t>
  </si>
  <si>
    <t>Innovation Flow: Lifecycles v2</t>
  </si>
  <si>
    <t>Security: Kubernetes hardening</t>
  </si>
  <si>
    <t>René Honig,Valentin Yanakiev</t>
  </si>
  <si>
    <t>Operational security analysis</t>
  </si>
  <si>
    <t>Handling of Time</t>
  </si>
  <si>
    <t>Error Handling: Presentation improvements</t>
  </si>
  <si>
    <t>Security: Client code execution / injection</t>
  </si>
  <si>
    <t>Epic,operations</t>
  </si>
  <si>
    <t>hub</t>
  </si>
  <si>
    <t>Improved signup flow: Newsletter registration, GDPR, ..</t>
  </si>
  <si>
    <t>Epic,A: Community,Roadmap Discussion</t>
  </si>
  <si>
    <t>User Engagement with the platform</t>
  </si>
  <si>
    <t>Security headers hardening</t>
  </si>
  <si>
    <t>Epic,Security</t>
  </si>
  <si>
    <t>Visuals on Journeys: Enhanced selection + suggested images</t>
  </si>
  <si>
    <t>Client component library in Figma</t>
  </si>
  <si>
    <t>Epic,Roadmap Candidate</t>
  </si>
  <si>
    <t>Search: richer data</t>
  </si>
  <si>
    <t>My Dashboard: live</t>
  </si>
  <si>
    <t>Subspaces: findings, non-urgent fixes, etc.</t>
  </si>
  <si>
    <t>Spaces with Subspaces</t>
  </si>
  <si>
    <t>Search: interaction</t>
  </si>
  <si>
    <t>Licensing: Payment flows (Stripe?), upgrade</t>
  </si>
  <si>
    <t xml:space="preserve">Simpler URLs </t>
  </si>
  <si>
    <t>Navigation</t>
  </si>
  <si>
    <t>Account Mgmt v2: bucket (orgs, verification. ...)</t>
  </si>
  <si>
    <t>Inviting people for platform role</t>
  </si>
  <si>
    <t>Using Temporary Storage</t>
  </si>
  <si>
    <t>Storage management</t>
  </si>
  <si>
    <t>Epic,Infrastructure</t>
  </si>
  <si>
    <t>Authorization: acting on behalf of</t>
  </si>
  <si>
    <t>I: Analytics via connectivity graph v1</t>
  </si>
  <si>
    <t>Initiative</t>
  </si>
  <si>
    <t>I: Maintainability</t>
  </si>
  <si>
    <t>I: Journey structure refresh</t>
  </si>
  <si>
    <t xml:space="preserve">Innovation library - Agreements </t>
  </si>
  <si>
    <t>I: Onboarding the community</t>
  </si>
  <si>
    <t>I: Innovation Hubs</t>
  </si>
  <si>
    <t>I: Platform responsiveness</t>
  </si>
  <si>
    <t>I: Guidance for users</t>
  </si>
  <si>
    <t>I: Platform Management</t>
  </si>
  <si>
    <t>I: Accessibility</t>
  </si>
  <si>
    <t>I: Content + Knowledge Management</t>
  </si>
  <si>
    <t>I: Notifications</t>
  </si>
  <si>
    <t>I: Library population, usage + feedback</t>
  </si>
  <si>
    <t>Content on the platform</t>
  </si>
  <si>
    <t>I: Innovation Library</t>
  </si>
  <si>
    <t>I: Enriched User Profiles</t>
  </si>
  <si>
    <t>I: Smart search</t>
  </si>
  <si>
    <t>Reporting: access, other features requiring license</t>
  </si>
  <si>
    <t xml:space="preserve">I: RT Whiteboard </t>
  </si>
  <si>
    <t>Specify the email sender for community notification emails</t>
  </si>
  <si>
    <t>Smoothly joining a community</t>
  </si>
  <si>
    <t>Membership models</t>
  </si>
  <si>
    <t>Hide / turn functionalities off</t>
  </si>
  <si>
    <t>Release mgmt: optimization</t>
  </si>
  <si>
    <t>Compliance: Tracking + cookie handling on client</t>
  </si>
  <si>
    <t>Single type of Database</t>
  </si>
  <si>
    <t>Epic,Infrastructure,server</t>
  </si>
  <si>
    <t>Data integrity v3</t>
  </si>
  <si>
    <t>Search: smart tags</t>
  </si>
  <si>
    <t>Subscriptions: Challenges</t>
  </si>
  <si>
    <t>Subscriptions: Payments infrastructure</t>
  </si>
  <si>
    <t>Bucket: Engaging User Profiles / Profiles per community</t>
  </si>
  <si>
    <t>Whiteboards to generate content</t>
  </si>
  <si>
    <t>Whiteboard to generate content</t>
  </si>
  <si>
    <t>Linking contributions</t>
  </si>
  <si>
    <t>QA: Test suites expanded</t>
  </si>
  <si>
    <t>Test Suites Tech Debt</t>
  </si>
  <si>
    <t>Domain model: refinements</t>
  </si>
  <si>
    <t>Static Code analysis: replacement for BCH</t>
  </si>
  <si>
    <t>QA: Test suite user authentication flows</t>
  </si>
  <si>
    <t>Domain: ActorGroups ==&gt; Actors with Tags</t>
  </si>
  <si>
    <t>Dev Tooling: Migrate to Yarn</t>
  </si>
  <si>
    <t>api: roadmap + design</t>
  </si>
  <si>
    <t>api: enhanced documentation</t>
  </si>
  <si>
    <t>Reporting: configuration management + deployment</t>
  </si>
  <si>
    <t>Emails associated with a user</t>
  </si>
  <si>
    <t>LinkedIn: connected accounts + usage for populating Alkemio profiles + messages</t>
  </si>
  <si>
    <t>Organizations: Signed up versus profiles</t>
  </si>
  <si>
    <t>Bucket: Enhancing UX: Visual improvements</t>
  </si>
  <si>
    <t>Platform visibility Collaboration professionals</t>
  </si>
  <si>
    <t>Simple versions of Alkemio</t>
  </si>
  <si>
    <t>Acc environment on demand</t>
  </si>
  <si>
    <t>Vulnerability scanning</t>
  </si>
  <si>
    <t>test-suites</t>
  </si>
  <si>
    <t>Governance: Security Audit + fixes</t>
  </si>
  <si>
    <t>Database: Robust deletions</t>
  </si>
  <si>
    <t>ORM Mapping Layer optimisation</t>
  </si>
  <si>
    <t>Epic,user story,server</t>
  </si>
  <si>
    <t>server</t>
  </si>
  <si>
    <t>QA: Test Suites maintainability</t>
  </si>
  <si>
    <t>Subscriptions: Test framework + initial limited test suite</t>
  </si>
  <si>
    <t>QA: Expand set of server API E2E tests</t>
  </si>
  <si>
    <t>Caching at the cluster level</t>
  </si>
  <si>
    <t>Search UI Tests</t>
  </si>
  <si>
    <t>System test plan tracking</t>
  </si>
  <si>
    <t>Notifications: configuration management flexibility</t>
  </si>
  <si>
    <t>notifications</t>
  </si>
  <si>
    <t>Chat Guidance: Multiple sessions</t>
  </si>
  <si>
    <t>Transparency on Space settings/library/etc for Space members</t>
  </si>
  <si>
    <t>Policy Updates</t>
  </si>
  <si>
    <t>Invitations / applications: polishing</t>
  </si>
  <si>
    <t>User verification flow</t>
  </si>
  <si>
    <t>Alkemio Expert Personas: allow creation + management</t>
  </si>
  <si>
    <t>VC: Insights on sources used</t>
  </si>
  <si>
    <t>Space AI service - EU LLM</t>
  </si>
  <si>
    <t>Cluster Health Monitoring Dashboards</t>
  </si>
  <si>
    <t>Bucket: VC improving the answers/response</t>
  </si>
  <si>
    <t>Stability: Client error tracing + reproduction</t>
  </si>
  <si>
    <t>Performance Test Suite for api</t>
  </si>
  <si>
    <t>Space Template</t>
  </si>
  <si>
    <t>Act as...</t>
  </si>
  <si>
    <t>Bucket: Open Source Integrations</t>
  </si>
  <si>
    <t>Consistency in notifications for interaction in a space</t>
  </si>
  <si>
    <t>Onboarding new Space members - after sign-up flow</t>
  </si>
  <si>
    <t>VS: Meta information on knowledge base</t>
  </si>
  <si>
    <t>Enhance Tag Management and Usability</t>
  </si>
  <si>
    <t>New Callout type (partner preference)</t>
  </si>
  <si>
    <t xml:space="preserve"> Reporting: additional details</t>
  </si>
  <si>
    <t>Client: Tech debt - Bucket</t>
  </si>
  <si>
    <t>Client Optimization: Optimizing Assets: images</t>
  </si>
  <si>
    <t>Client Optimization: Server Calls</t>
  </si>
  <si>
    <t>Open Badges support</t>
  </si>
  <si>
    <t>Epic,A: Community</t>
  </si>
  <si>
    <t xml:space="preserve">Bucket: User Documentation </t>
  </si>
  <si>
    <t>Space language</t>
  </si>
  <si>
    <t>Polis</t>
  </si>
  <si>
    <t>Privacy/GDPR: user control on visibility</t>
  </si>
  <si>
    <t>Dutch website + documentation</t>
  </si>
  <si>
    <t>Transfer of Callouts between spaces</t>
  </si>
  <si>
    <t>3rd party upgrade Q1+2 2025</t>
  </si>
  <si>
    <t>Bucket: Innovation flows</t>
  </si>
  <si>
    <t>VC: Work product output</t>
  </si>
  <si>
    <t>VC: Workproduct input</t>
  </si>
  <si>
    <t>Onboarding flow: polishing</t>
  </si>
  <si>
    <t>Butcket: UX around a release</t>
  </si>
  <si>
    <t>New Callout Types</t>
  </si>
  <si>
    <t>Bucket: OS/Browser version issues (to keep track)</t>
  </si>
  <si>
    <t>Infrastructure Cost optimization</t>
  </si>
  <si>
    <t>Basic usage supported on mobile</t>
  </si>
  <si>
    <t>Security: Control of provider per organization</t>
  </si>
  <si>
    <t>Platform admin: Identities</t>
  </si>
  <si>
    <t>Private sub-subspace</t>
  </si>
  <si>
    <t>Callouts: updated UI/UX 2.0</t>
  </si>
  <si>
    <t>Graphql: leverage capabilities + market tooling</t>
  </si>
  <si>
    <t>Server: code clean up + optimization  v2</t>
  </si>
  <si>
    <t>Home page refresh</t>
  </si>
  <si>
    <t>Usability: Improved user feedback on errors</t>
  </si>
  <si>
    <t>Accessibility: WCAG 2.1 - phase 2+</t>
  </si>
  <si>
    <t>2025-11-11</t>
  </si>
  <si>
    <t>Communication: User-user messaging (Matrix) - demonstrator</t>
  </si>
  <si>
    <t>Templates: Innovation pack UI improvements</t>
  </si>
  <si>
    <t>Notifications: InApp GA readiness</t>
  </si>
  <si>
    <t>Notifications: InApp GA improvements</t>
  </si>
  <si>
    <t>Infrastructure: Authentication - Support for public sector identities</t>
  </si>
  <si>
    <t>SPLIT - Callouts: updated UI/UX v2</t>
  </si>
  <si>
    <t>Organization: Inviting to join a Space</t>
  </si>
  <si>
    <t>Organization: Inviting users to associate</t>
  </si>
  <si>
    <t>Bucket: Notifications</t>
  </si>
  <si>
    <t>SPLIT - Infrastructure: Maintainability 2025 Q4</t>
  </si>
  <si>
    <t>Licensing: Entitlement usage tracking inside Spaces</t>
  </si>
  <si>
    <t>Infrastructure: Authentication robustness</t>
  </si>
  <si>
    <t>security,operations,Epic,Infrastructure</t>
  </si>
  <si>
    <t>[Bucket] Reducing errors &amp; warnings 2025 Q3</t>
  </si>
  <si>
    <t>Notifications: aggregation of events</t>
  </si>
  <si>
    <t>NEEDED? Community Invitations: Allowing inviting many (external) users at once</t>
  </si>
  <si>
    <t>Communication : Interaction with rooms using Matrix client</t>
  </si>
  <si>
    <t>VC: Usage of prototyping capability</t>
  </si>
  <si>
    <t>[Bucket] Reducing errors + warnings 2025 Q4</t>
  </si>
  <si>
    <t>Error handling: approach + architecture</t>
  </si>
  <si>
    <t>Allow sending of messages to DM rooms, and retrieval</t>
  </si>
  <si>
    <t>user story,server,Atlas Team</t>
  </si>
  <si>
    <t>License: VC stabilisation</t>
  </si>
  <si>
    <t>Callouts: Emoji reactions</t>
  </si>
  <si>
    <t>Accessability: WCAG 2.1 - phase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</si>
</sst>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7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FF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FFFFCC"/>
      </patternFill>
    </fill>
    <fill>
      <patternFill patternType="solid">
        <fgColor rgb="FFB4C7E7"/>
        <bgColor rgb="FFBFBFBF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Border="0" applyProtection="0"/>
    <xf numFmtId="0" fontId="3" fillId="2" borderId="0" applyBorder="0" applyProtection="0"/>
  </cellStyleXfs>
  <cellXfs count="1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 applyAlignment="1">
      <alignment horizontal="left"/>
    </xf>
    <xf numFmtId="164" fontId="0" fillId="0" borderId="2" xfId="0" applyNumberFormat="1" applyBorder="1" applyAlignment="1">
      <alignment horizontal="center"/>
    </xf>
    <xf numFmtId="9" fontId="3" fillId="0" borderId="2" xfId="1" applyBorder="1" applyProtection="1"/>
    <xf numFmtId="165" fontId="0" fillId="0" borderId="2" xfId="0" applyNumberFormat="1" applyBorder="1"/>
    <xf numFmtId="1" fontId="0" fillId="0" borderId="2" xfId="0" applyNumberFormat="1" applyBorder="1"/>
    <xf numFmtId="0" fontId="2" fillId="0" borderId="0" xfId="0" applyFont="1" applyAlignment="1">
      <alignment horizontal="left"/>
    </xf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0" fillId="4" borderId="0" xfId="0" applyFill="1"/>
    <xf numFmtId="0" fontId="2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3" fillId="2" borderId="2" xfId="2" applyBorder="1" applyAlignment="1" applyProtection="1">
      <alignment horizontal="left" vertical="top" wrapText="1"/>
    </xf>
  </cellXfs>
  <cellStyles count="3">
    <cellStyle name="Excel Built-in 20% - Accent6" xfId="2" xr:uid="{00000000-0005-0000-0000-000006000000}"/>
    <cellStyle name="Normal" xfId="0" builtinId="0"/>
    <cellStyle name="Per 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3" tint="0.599993896298104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40404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404040"/>
                </a:solidFill>
                <a:latin typeface="Calibri"/>
              </a:rPr>
              <a:t>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Capacity!$B$4:$C$4</c:f>
              <c:strCache>
                <c:ptCount val="1"/>
                <c:pt idx="0">
                  <c:v>Planned Available</c:v>
                </c:pt>
              </c:strCache>
            </c:strRef>
          </c:tx>
          <c:spPr>
            <a:solidFill>
              <a:srgbClr val="4472C4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Capacity!$B$5:$B$11</c:f>
              <c:numCache>
                <c:formatCode>General</c:formatCode>
                <c:ptCount val="7"/>
                <c:pt idx="0">
                  <c:v>370</c:v>
                </c:pt>
                <c:pt idx="1">
                  <c:v>20</c:v>
                </c:pt>
                <c:pt idx="2">
                  <c:v>30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4-43F4-BA43-630D9E3479BE}"/>
            </c:ext>
          </c:extLst>
        </c:ser>
        <c:ser>
          <c:idx val="1"/>
          <c:order val="1"/>
          <c:spPr>
            <a:solidFill>
              <a:srgbClr val="ED7D31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Capacity!$C$5:$C$11</c:f>
              <c:numCache>
                <c:formatCode>0</c:formatCode>
                <c:ptCount val="7"/>
                <c:pt idx="0">
                  <c:v>756</c:v>
                </c:pt>
                <c:pt idx="1">
                  <c:v>771.42857142857144</c:v>
                </c:pt>
                <c:pt idx="2">
                  <c:v>600</c:v>
                </c:pt>
                <c:pt idx="3">
                  <c:v>657.14285714285711</c:v>
                </c:pt>
                <c:pt idx="4">
                  <c:v>607.14285714285711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4-43F4-BA43-630D9E347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70811296"/>
        <c:axId val="21869291"/>
      </c:barChart>
      <c:catAx>
        <c:axId val="70811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404040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404040"/>
                </a:solidFill>
                <a:latin typeface="Calibri"/>
              </a:defRPr>
            </a:pPr>
            <a:endParaRPr lang="en-US"/>
          </a:p>
        </c:txPr>
        <c:crossAx val="21869291"/>
        <c:crosses val="autoZero"/>
        <c:auto val="1"/>
        <c:lblAlgn val="ctr"/>
        <c:lblOffset val="100"/>
        <c:noMultiLvlLbl val="0"/>
      </c:catAx>
      <c:valAx>
        <c:axId val="21869291"/>
        <c:scaling>
          <c:orientation val="minMax"/>
        </c:scaling>
        <c:delete val="1"/>
        <c:axPos val="l"/>
        <c:majorGridlines>
          <c:spPr>
            <a:ln w="9360">
              <a:solidFill>
                <a:srgbClr val="BFBFBF">
                  <a:alpha val="36000"/>
                </a:srgb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708112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Epics</a:t>
            </a:r>
            <a:r>
              <a:rPr lang="en-GB" baseline="0"/>
              <a:t>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Capacity!$F$4</c:f>
              <c:strCache>
                <c:ptCount val="1"/>
                <c:pt idx="0">
                  <c:v>Must haves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Capacity!$F$5:$F$8</c:f>
              <c:numCache>
                <c:formatCode>General</c:formatCode>
                <c:ptCount val="4"/>
                <c:pt idx="0">
                  <c:v>200</c:v>
                </c:pt>
                <c:pt idx="1">
                  <c:v>10</c:v>
                </c:pt>
                <c:pt idx="2">
                  <c:v>10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DC-4B98-99BD-BFCD2233A6BE}"/>
            </c:ext>
          </c:extLst>
        </c:ser>
        <c:ser>
          <c:idx val="3"/>
          <c:order val="1"/>
          <c:tx>
            <c:strRef>
              <c:f>Capacity!$G$4</c:f>
              <c:strCache>
                <c:ptCount val="1"/>
                <c:pt idx="0">
                  <c:v>USP/Product Definition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Capacity!$G$5:$G$8</c:f>
              <c:numCache>
                <c:formatCode>General</c:formatCode>
                <c:ptCount val="4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DC-4B98-99BD-BFCD2233A6BE}"/>
            </c:ext>
          </c:extLst>
        </c:ser>
        <c:ser>
          <c:idx val="4"/>
          <c:order val="2"/>
          <c:tx>
            <c:strRef>
              <c:f>Capacity!$H$4</c:f>
              <c:strCache>
                <c:ptCount val="1"/>
                <c:pt idx="0">
                  <c:v>Quality/Sustainability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Capacity!$H$5:$H$8</c:f>
              <c:numCache>
                <c:formatCode>General</c:formatCode>
                <c:ptCount val="4"/>
                <c:pt idx="0">
                  <c:v>140</c:v>
                </c:pt>
                <c:pt idx="1">
                  <c:v>10</c:v>
                </c:pt>
                <c:pt idx="2">
                  <c:v>20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2D9-B55F-98A0EC659F94}"/>
            </c:ext>
          </c:extLst>
        </c:ser>
        <c:ser>
          <c:idx val="8"/>
          <c:order val="7"/>
          <c:tx>
            <c:strRef>
              <c:f>Capacity!$I$4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Capacity!$I$5:$I$8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09-4AE6-8EF4-2051DD602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8456240"/>
        <c:axId val="1538454160"/>
        <c:extLst>
          <c:ext xmlns:c15="http://schemas.microsoft.com/office/drawing/2012/chart" uri="{02D57815-91ED-43cb-92C2-25804820EDAC}">
            <c15:filteredBarSeries>
              <c15:ser>
                <c:idx val="5"/>
                <c:order val="3"/>
                <c:tx>
                  <c:str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EFF-42D9-B55F-98A0EC659F94}"/>
                  </c:ext>
                </c:extLst>
              </c15:ser>
            </c15:filteredBarSeries>
            <c15:filteredBarSeries>
              <c15:ser>
                <c:idx val="6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EFF-42D9-B55F-98A0EC659F94}"/>
                  </c:ext>
                </c:extLst>
              </c15:ser>
            </c15:filteredBarSeries>
            <c15:filteredBarSeries>
              <c15:ser>
                <c:idx val="0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F09-4AE6-8EF4-2051DD602F08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F09-4AE6-8EF4-2051DD602F08}"/>
                  </c:ext>
                </c:extLst>
              </c15:ser>
            </c15:filteredBarSeries>
          </c:ext>
        </c:extLst>
      </c:barChart>
      <c:catAx>
        <c:axId val="153845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4160"/>
        <c:crosses val="autoZero"/>
        <c:auto val="1"/>
        <c:lblAlgn val="ctr"/>
        <c:lblOffset val="100"/>
        <c:noMultiLvlLbl val="0"/>
      </c:catAx>
      <c:valAx>
        <c:axId val="153845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1263179</xdr:colOff>
      <xdr:row>19</xdr:row>
      <xdr:rowOff>40927</xdr:rowOff>
    </xdr:from>
    <xdr:to>
      <xdr:col>9</xdr:col>
      <xdr:colOff>429923</xdr:colOff>
      <xdr:row>34</xdr:row>
      <xdr:rowOff>67696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195194</xdr:colOff>
      <xdr:row>17</xdr:row>
      <xdr:rowOff>68850</xdr:rowOff>
    </xdr:from>
    <xdr:to>
      <xdr:col>6</xdr:col>
      <xdr:colOff>616535</xdr:colOff>
      <xdr:row>40</xdr:row>
      <xdr:rowOff>97425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520C5D-8016-12CE-D535-E0E8E7C47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" displayName="Table3" ref="A4:I11" totalsRowShown="0" headerRowDxfId="7">
  <autoFilter ref="A4:I11" xr:uid="{00000000-0009-0000-0100-000002000000}"/>
  <tableColumns count="9">
    <tableColumn id="1" xr3:uid="{00000000-0010-0000-0000-000001000000}" name="Delivery"/>
    <tableColumn id="2" xr3:uid="{00000000-0010-0000-0000-000002000000}" name="Planned" dataDxfId="6">
      <calculatedColumnFormula>SUMIFS(EPICS_ESTIMATE, EPICS_PERIOD, $A5, EPICS_STATUS, "&lt;&gt;Done")</calculatedColumnFormula>
    </tableColumn>
    <tableColumn id="3" xr3:uid="{00000000-0010-0000-0000-000003000000}" name="Available">
      <calculatedColumnFormula>Parameters!I6</calculatedColumnFormula>
    </tableColumn>
    <tableColumn id="4" xr3:uid="{A0B7810D-02AD-4563-84FC-C5AB45C9F69A}" name="Done" dataDxfId="5">
      <calculatedColumnFormula>SUMIFS(EPICS_ESTIMATE, EPICS_PERIOD, $A5, EPICS_STATUS, "Done")</calculatedColumnFormula>
    </tableColumn>
    <tableColumn id="13" xr3:uid="{4396325F-6B3B-4FA3-9252-BDB13D7DB267}" name="Total" dataDxfId="4">
      <calculatedColumnFormula>SUM(Table3[[#This Row],[Done]], Table3[[#This Row],[Planned]])</calculatedColumnFormula>
    </tableColumn>
    <tableColumn id="5" xr3:uid="{420E4733-D818-4697-B4AC-49919F34E6A1}" name="Must haves" dataDxfId="3">
      <calculatedColumnFormula>SUMIFS(EPICS_ESTIMATE, EPICS_PERIOD, $A5, EPICS_CLASSIFICATION, F$4)</calculatedColumnFormula>
    </tableColumn>
    <tableColumn id="6" xr3:uid="{C298A470-F5E4-4C9D-A835-37621F5C7C5C}" name="USP/Product Definition" dataDxfId="2">
      <calculatedColumnFormula>SUMIFS(EPICS_ESTIMATE, EPICS_PERIOD, $A5, EPICS_CLASSIFICATION, G$4, EPICS_STATUS, "&lt;&gt;Done")</calculatedColumnFormula>
    </tableColumn>
    <tableColumn id="8" xr3:uid="{1E9537EA-C654-4C41-869E-4B20D36B1310}" name="Quality/Sustainability" dataDxfId="1">
      <calculatedColumnFormula>SUMIFS(EPICS_ESTIMATE, EPICS_PERIOD, $A5, EPICS_CLASSIFICATION, H$4, EPICS_STATUS, "&lt;&gt;Done")</calculatedColumnFormula>
    </tableColumn>
    <tableColumn id="7" xr3:uid="{DC4CAD30-AA84-40FB-8366-4759F029E489}" name="Not specified" dataDxfId="0">
      <calculatedColumnFormula>Table3[[#This Row],[Total]]-SUM(F5:H5)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C4F9ED-3493-2943-B8A4-E481C07AE7C7}" name="Table1" displayName="Table1" ref="A1:X328" totalsRowShown="0">
  <autoFilter ref="A1:X328" xr:uid="{51C4F9ED-3493-2943-B8A4-E481C07AE7C7}"/>
  <tableColumns count="24">
    <tableColumn id="1" xr3:uid="{1A9A087E-26A2-D149-8401-6314A2D17BE3}" name="Title"/>
    <tableColumn id="2" xr3:uid="{6F193D7F-BE07-7B44-88C7-849872913900}" name="Status"/>
    <tableColumn id="3" xr3:uid="{0212A514-A996-5048-A14D-87D995C3AE97}" name="Quartile"/>
    <tableColumn id="4" xr3:uid="{F6F7ABBD-01D1-3D48-A071-23424C6EBAE2}" name="Classification"/>
    <tableColumn id="5" xr3:uid="{1268307D-0DD6-A840-A555-1FE658863B28}" name="Type (Alkemio)"/>
    <tableColumn id="6" xr3:uid="{6789367C-6327-0549-BB4E-B0692F87E4D9}" name="Epic points"/>
    <tableColumn id="7" xr3:uid="{11EBD34C-E977-014A-B805-CEE9493B2E6D}" name="Labels"/>
    <tableColumn id="8" xr3:uid="{EA8577D4-90F2-D24D-ABB9-2C67928A689C}" name="Partner"/>
    <tableColumn id="9" xr3:uid="{48B13978-AF5A-0442-AAC3-DD55055D2976}" name="Type"/>
    <tableColumn id="10" xr3:uid="{666510E7-637D-A84D-8721-9EAEE21BCFCC}" name="New / Improvement"/>
    <tableColumn id="11" xr3:uid="{01D7602E-A4A7-2A46-AC08-E92BAC27724A}" name="Feature"/>
    <tableColumn id="12" xr3:uid="{A8429891-3304-924F-B4EC-820E716823B1}" name="Feature 2"/>
    <tableColumn id="13" xr3:uid="{C48D7662-CC31-5340-A517-B6A29AC5DA0B}" name="Functional area"/>
    <tableColumn id="14" xr3:uid="{7B18FA5B-D399-C444-ABFA-FD9A18FD3C3D}" name="Non-functional area"/>
    <tableColumn id="15" xr3:uid="{051931FB-5593-0B45-A083-47B64598BD82}" name="Period"/>
    <tableColumn id="16" xr3:uid="{219A515D-4E32-2E4A-99AB-3D4B25F9CA4E}" name="Sprint"/>
    <tableColumn id="17" xr3:uid="{810C2886-A0FA-CA47-B96F-9A6ED03CF0F6}" name="Sprint points"/>
    <tableColumn id="18" xr3:uid="{0EE76D42-4C06-154C-AC34-9CE60FD05419}" name="Release"/>
    <tableColumn id="19" xr3:uid="{6E9B187C-B332-3944-816A-C50BCF0E6482}" name="Milestone"/>
    <tableColumn id="20" xr3:uid="{E1B758DC-50FC-764E-B7FC-C9FE783D6FAA}" name="Repository"/>
    <tableColumn id="21" xr3:uid="{EFBC5104-5815-7C4B-9D00-8F9C5DCF720A}" name="Assignees"/>
    <tableColumn id="22" xr3:uid="{FE00A224-0747-9A43-862D-D2DC732D808A}" name="Order"/>
    <tableColumn id="23" xr3:uid="{35CE638B-7EF9-0F40-9D07-963B59302EC7}" name="Epic points - remaining"/>
    <tableColumn id="24" xr3:uid="{3667C609-4DDF-854C-8106-3A79A4244309}" name="Epic points - d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zoomScale="120" zoomScaleNormal="120" workbookViewId="0">
      <selection activeCell="A6" sqref="A6:A10"/>
    </sheetView>
  </sheetViews>
  <sheetFormatPr baseColWidth="10" defaultColWidth="8.5" defaultRowHeight="15" x14ac:dyDescent="0.2"/>
  <cols>
    <col min="1" max="1" width="18.6640625" customWidth="1"/>
    <col min="2" max="2" width="16.1640625" customWidth="1"/>
    <col min="3" max="3" width="15" customWidth="1"/>
    <col min="4" max="4" width="14.33203125" customWidth="1"/>
    <col min="5" max="5" width="25.83203125" bestFit="1" customWidth="1"/>
    <col min="6" max="6" width="22.1640625" bestFit="1" customWidth="1"/>
    <col min="7" max="8" width="11.5" customWidth="1"/>
    <col min="9" max="9" width="14.1640625" customWidth="1"/>
    <col min="10" max="10" width="23.83203125" customWidth="1"/>
  </cols>
  <sheetData>
    <row r="1" spans="1:13" ht="19" x14ac:dyDescent="0.25">
      <c r="A1" s="14" t="s">
        <v>0</v>
      </c>
      <c r="B1" s="14"/>
      <c r="C1" s="14"/>
      <c r="D1" s="14"/>
    </row>
    <row r="2" spans="1:13" ht="14.25" customHeight="1" x14ac:dyDescent="0.2">
      <c r="A2" s="15" t="s">
        <v>1</v>
      </c>
      <c r="B2" s="15"/>
      <c r="C2" s="15"/>
      <c r="D2" s="15"/>
    </row>
    <row r="4" spans="1:13" ht="15" customHeight="1" x14ac:dyDescent="0.2">
      <c r="A4" s="13" t="s">
        <v>2</v>
      </c>
      <c r="B4" s="13" t="s">
        <v>24</v>
      </c>
      <c r="C4" s="13" t="s">
        <v>3</v>
      </c>
      <c r="D4" s="13" t="s">
        <v>4</v>
      </c>
      <c r="E4" s="13" t="s">
        <v>5</v>
      </c>
      <c r="F4" s="13" t="s">
        <v>26</v>
      </c>
      <c r="G4" s="13" t="s">
        <v>25</v>
      </c>
      <c r="H4" s="13" t="s">
        <v>6</v>
      </c>
      <c r="I4" s="13" t="s">
        <v>7</v>
      </c>
      <c r="J4" s="1" t="s">
        <v>8</v>
      </c>
    </row>
    <row r="5" spans="1:13" x14ac:dyDescent="0.2">
      <c r="A5" s="13"/>
      <c r="B5" s="13"/>
      <c r="C5" s="13"/>
      <c r="D5" s="13"/>
      <c r="E5" s="13"/>
      <c r="F5" s="13"/>
      <c r="G5" s="13"/>
      <c r="H5" s="13"/>
      <c r="I5" s="13"/>
      <c r="J5" s="1"/>
    </row>
    <row r="6" spans="1:13" x14ac:dyDescent="0.2">
      <c r="A6" s="3" t="s">
        <v>28</v>
      </c>
      <c r="B6" s="4">
        <v>45931</v>
      </c>
      <c r="C6" s="4">
        <v>46022</v>
      </c>
      <c r="D6" s="5">
        <v>0.7</v>
      </c>
      <c r="E6" s="6">
        <f>(C6-B6)/7/2</f>
        <v>6.5</v>
      </c>
      <c r="F6" s="6">
        <v>0.5</v>
      </c>
      <c r="G6" s="6">
        <f>E6-F6</f>
        <v>6</v>
      </c>
      <c r="H6" s="7">
        <v>180</v>
      </c>
      <c r="I6" s="7">
        <f>H6*G6*D6</f>
        <v>756</v>
      </c>
      <c r="J6" s="2"/>
    </row>
    <row r="7" spans="1:13" x14ac:dyDescent="0.2">
      <c r="A7" s="3" t="s">
        <v>30</v>
      </c>
      <c r="B7" s="4">
        <f>C6</f>
        <v>46022</v>
      </c>
      <c r="C7" s="4">
        <v>46112</v>
      </c>
      <c r="D7" s="5">
        <v>0.6</v>
      </c>
      <c r="E7" s="6">
        <f t="shared" ref="E7:E9" si="0">(C7-B7)/7/2</f>
        <v>6.4285714285714288</v>
      </c>
      <c r="F7" s="6">
        <v>0</v>
      </c>
      <c r="G7" s="6">
        <f t="shared" ref="G7:G9" si="1">E7-F7</f>
        <v>6.4285714285714288</v>
      </c>
      <c r="H7" s="7">
        <v>200</v>
      </c>
      <c r="I7" s="7">
        <f t="shared" ref="I7:I9" si="2">H7*G7*D7</f>
        <v>771.42857142857144</v>
      </c>
      <c r="J7" s="2"/>
      <c r="M7" s="10" t="s">
        <v>23</v>
      </c>
    </row>
    <row r="8" spans="1:13" x14ac:dyDescent="0.2">
      <c r="A8" s="3" t="s">
        <v>31</v>
      </c>
      <c r="B8" s="4">
        <f>C7</f>
        <v>46112</v>
      </c>
      <c r="C8" s="4">
        <v>46203</v>
      </c>
      <c r="D8" s="5">
        <v>0.5</v>
      </c>
      <c r="E8" s="6">
        <f t="shared" si="0"/>
        <v>6.5</v>
      </c>
      <c r="F8" s="6">
        <v>0.5</v>
      </c>
      <c r="G8" s="6">
        <f t="shared" si="1"/>
        <v>6</v>
      </c>
      <c r="H8" s="7">
        <v>200</v>
      </c>
      <c r="I8" s="7">
        <f t="shared" si="2"/>
        <v>600</v>
      </c>
      <c r="J8" s="2"/>
    </row>
    <row r="9" spans="1:13" x14ac:dyDescent="0.2">
      <c r="A9" s="3" t="s">
        <v>32</v>
      </c>
      <c r="B9" s="4">
        <f t="shared" ref="B9" si="3">C8</f>
        <v>46203</v>
      </c>
      <c r="C9" s="4">
        <v>46295</v>
      </c>
      <c r="D9" s="5">
        <v>0.5</v>
      </c>
      <c r="E9" s="6">
        <f t="shared" si="0"/>
        <v>6.5714285714285712</v>
      </c>
      <c r="F9" s="6">
        <v>0</v>
      </c>
      <c r="G9" s="6">
        <f t="shared" si="1"/>
        <v>6.5714285714285712</v>
      </c>
      <c r="H9" s="7">
        <v>200</v>
      </c>
      <c r="I9" s="7">
        <f t="shared" si="2"/>
        <v>657.14285714285711</v>
      </c>
      <c r="J9" s="2"/>
    </row>
    <row r="10" spans="1:13" x14ac:dyDescent="0.2">
      <c r="A10" s="3" t="s">
        <v>29</v>
      </c>
      <c r="B10" s="4">
        <f t="shared" ref="B10" si="4">C9</f>
        <v>46295</v>
      </c>
      <c r="C10" s="4">
        <v>46387</v>
      </c>
      <c r="D10" s="5">
        <v>0.5</v>
      </c>
      <c r="E10" s="6">
        <f t="shared" ref="E10" si="5">(C10-B10)/7/2</f>
        <v>6.5714285714285712</v>
      </c>
      <c r="F10" s="6">
        <v>0.5</v>
      </c>
      <c r="G10" s="6">
        <f t="shared" ref="G10" si="6">E10-F10</f>
        <v>6.0714285714285712</v>
      </c>
      <c r="H10" s="7">
        <v>200</v>
      </c>
      <c r="I10" s="7">
        <f t="shared" ref="I10" si="7">H10*G10*D10</f>
        <v>607.14285714285711</v>
      </c>
      <c r="J10" s="2"/>
    </row>
  </sheetData>
  <mergeCells count="11">
    <mergeCell ref="H4:H5"/>
    <mergeCell ref="I4:I5"/>
    <mergeCell ref="A1:D1"/>
    <mergeCell ref="A2:D2"/>
    <mergeCell ref="A4:A5"/>
    <mergeCell ref="C4:C5"/>
    <mergeCell ref="D4:D5"/>
    <mergeCell ref="E4:E5"/>
    <mergeCell ref="B4:B5"/>
    <mergeCell ref="F4:F5"/>
    <mergeCell ref="G4:G5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I11"/>
  <sheetViews>
    <sheetView topLeftCell="A22" zoomScale="145" zoomScaleNormal="145" workbookViewId="0">
      <selection activeCell="G15" sqref="G15"/>
    </sheetView>
  </sheetViews>
  <sheetFormatPr baseColWidth="10" defaultColWidth="8.5" defaultRowHeight="15" x14ac:dyDescent="0.2"/>
  <cols>
    <col min="1" max="1" width="22.83203125" customWidth="1"/>
    <col min="2" max="2" width="12.5" customWidth="1"/>
    <col min="3" max="5" width="15.5" customWidth="1"/>
    <col min="6" max="6" width="32.5" customWidth="1"/>
    <col min="7" max="7" width="26.1640625" customWidth="1"/>
    <col min="8" max="8" width="30.6640625" customWidth="1"/>
    <col min="9" max="9" width="26.1640625" customWidth="1"/>
  </cols>
  <sheetData>
    <row r="4" spans="1:9" x14ac:dyDescent="0.2">
      <c r="A4" s="12" t="s">
        <v>9</v>
      </c>
      <c r="B4" s="12" t="s">
        <v>10</v>
      </c>
      <c r="C4" s="12" t="s">
        <v>11</v>
      </c>
      <c r="D4" s="12" t="s">
        <v>20</v>
      </c>
      <c r="E4" s="12" t="s">
        <v>27</v>
      </c>
      <c r="F4" s="12" t="s">
        <v>49</v>
      </c>
      <c r="G4" s="12" t="s">
        <v>56</v>
      </c>
      <c r="H4" s="12" t="s">
        <v>66</v>
      </c>
      <c r="I4" s="12" t="s">
        <v>21</v>
      </c>
    </row>
    <row r="5" spans="1:9" x14ac:dyDescent="0.2">
      <c r="A5" s="8" t="s">
        <v>28</v>
      </c>
      <c r="B5">
        <f>SUMIFS(EPICS_ESTIMATE, EPICS_PERIOD, $A5, EPICS_STATUS, "&lt;&gt;Done")</f>
        <v>370</v>
      </c>
      <c r="C5" s="9">
        <f>Parameters!I6</f>
        <v>756</v>
      </c>
      <c r="D5">
        <f t="shared" ref="D5:D9" si="0">SUMIFS(EPICS_ESTIMATE, EPICS_PERIOD, $A5, EPICS_STATUS, "Done")</f>
        <v>20</v>
      </c>
      <c r="E5" s="11">
        <f>SUM(Table3[[#This Row],[Done]], Table3[[#This Row],[Planned]])</f>
        <v>390</v>
      </c>
      <c r="F5">
        <f t="shared" ref="F5:H8" si="1">SUMIFS(EPICS_ESTIMATE, EPICS_PERIOD, $A5, EPICS_CLASSIFICATION, F$4)</f>
        <v>200</v>
      </c>
      <c r="G5">
        <f t="shared" si="1"/>
        <v>50</v>
      </c>
      <c r="H5">
        <f t="shared" si="1"/>
        <v>140</v>
      </c>
      <c r="I5">
        <f>Table3[[#This Row],[Total]]-SUM(F5:H5)</f>
        <v>0</v>
      </c>
    </row>
    <row r="6" spans="1:9" x14ac:dyDescent="0.2">
      <c r="A6" s="8" t="s">
        <v>30</v>
      </c>
      <c r="B6">
        <f t="shared" ref="B6:B9" si="2">SUMIFS(EPICS_ESTIMATE, EPICS_PERIOD, $A6, EPICS_STATUS, "&lt;&gt;Done")</f>
        <v>20</v>
      </c>
      <c r="C6" s="9">
        <f>Parameters!I7</f>
        <v>771.42857142857144</v>
      </c>
      <c r="D6">
        <f t="shared" si="0"/>
        <v>0</v>
      </c>
      <c r="E6" s="11">
        <f>SUM(Table3[[#This Row],[Done]], Table3[[#This Row],[Planned]])</f>
        <v>20</v>
      </c>
      <c r="F6">
        <f t="shared" si="1"/>
        <v>10</v>
      </c>
      <c r="G6">
        <f t="shared" si="1"/>
        <v>0</v>
      </c>
      <c r="H6">
        <f t="shared" si="1"/>
        <v>10</v>
      </c>
      <c r="I6">
        <f>Table3[[#This Row],[Total]]-SUM(F6:H6)</f>
        <v>0</v>
      </c>
    </row>
    <row r="7" spans="1:9" x14ac:dyDescent="0.2">
      <c r="A7" s="8" t="s">
        <v>31</v>
      </c>
      <c r="B7">
        <f t="shared" si="2"/>
        <v>30</v>
      </c>
      <c r="C7" s="9">
        <f>Parameters!I8</f>
        <v>600</v>
      </c>
      <c r="D7">
        <f t="shared" si="0"/>
        <v>0</v>
      </c>
      <c r="E7" s="11">
        <f>SUM(Table3[[#This Row],[Done]], Table3[[#This Row],[Planned]])</f>
        <v>30</v>
      </c>
      <c r="F7">
        <f t="shared" si="1"/>
        <v>10</v>
      </c>
      <c r="G7">
        <f t="shared" si="1"/>
        <v>0</v>
      </c>
      <c r="H7">
        <f t="shared" si="1"/>
        <v>20</v>
      </c>
      <c r="I7">
        <f>Table3[[#This Row],[Total]]-SUM(F7:H7)</f>
        <v>0</v>
      </c>
    </row>
    <row r="8" spans="1:9" x14ac:dyDescent="0.2">
      <c r="A8" s="8" t="s">
        <v>32</v>
      </c>
      <c r="B8">
        <f t="shared" si="2"/>
        <v>0</v>
      </c>
      <c r="C8" s="9">
        <f>Parameters!I9</f>
        <v>657.14285714285711</v>
      </c>
      <c r="D8">
        <f t="shared" si="0"/>
        <v>0</v>
      </c>
      <c r="E8" s="11">
        <f>SUM(Table3[[#This Row],[Done]], Table3[[#This Row],[Planned]])</f>
        <v>0</v>
      </c>
      <c r="F8">
        <f t="shared" si="1"/>
        <v>0</v>
      </c>
      <c r="G8">
        <f t="shared" si="1"/>
        <v>0</v>
      </c>
      <c r="H8">
        <f t="shared" si="1"/>
        <v>0</v>
      </c>
      <c r="I8">
        <f>Table3[[#This Row],[Total]]-SUM(F8:H8)</f>
        <v>0</v>
      </c>
    </row>
    <row r="9" spans="1:9" x14ac:dyDescent="0.2">
      <c r="A9" s="8" t="s">
        <v>29</v>
      </c>
      <c r="B9">
        <f t="shared" si="2"/>
        <v>0</v>
      </c>
      <c r="C9" s="9">
        <f>Parameters!I10</f>
        <v>607.14285714285711</v>
      </c>
      <c r="D9">
        <f t="shared" si="0"/>
        <v>0</v>
      </c>
      <c r="E9" s="11">
        <f>SUM(Table3[[#This Row],[Done]], Table3[[#This Row],[Planned]])</f>
        <v>0</v>
      </c>
      <c r="F9">
        <f>SUMIFS(EPICS_ESTIMATE, EPICS_PERIOD, $A9, EPICS_CLASSIFICATION, F$4)</f>
        <v>0</v>
      </c>
      <c r="G9">
        <f t="shared" ref="G9:H9" si="3">SUMIFS(EPICS_ESTIMATE, EPICS_PERIOD, $A9, EPICS_CLASSIFICATION, G$4, EPICS_STATUS, "&lt;&gt;Done")</f>
        <v>0</v>
      </c>
      <c r="H9">
        <f t="shared" si="3"/>
        <v>0</v>
      </c>
      <c r="I9">
        <f>Table3[[#This Row],[Total]]-SUM(F9:H9)</f>
        <v>0</v>
      </c>
    </row>
    <row r="10" spans="1:9" x14ac:dyDescent="0.2">
      <c r="A10" s="8"/>
      <c r="C10" s="9"/>
      <c r="E10" s="11"/>
    </row>
    <row r="11" spans="1:9" x14ac:dyDescent="0.2">
      <c r="A11" s="8"/>
      <c r="E11" s="1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C3D3-F51C-4A1C-8876-FB0FD1045D79}">
  <dimension ref="A1:X328"/>
  <sheetViews>
    <sheetView tabSelected="1" workbookViewId="0">
      <selection activeCell="C16" sqref="C16"/>
    </sheetView>
  </sheetViews>
  <sheetFormatPr baseColWidth="10" defaultRowHeight="15" x14ac:dyDescent="0.2"/>
  <cols>
    <col min="1" max="1" width="34" customWidth="1"/>
    <col min="2" max="2" width="25" customWidth="1"/>
    <col min="3" max="3" width="44" customWidth="1"/>
    <col min="4" max="4" width="45" customWidth="1"/>
    <col min="5" max="5" width="94" customWidth="1"/>
    <col min="6" max="6" width="11.83203125" customWidth="1"/>
    <col min="7" max="7" width="12" customWidth="1"/>
    <col min="8" max="8" width="10" customWidth="1"/>
    <col min="9" max="9" width="7" customWidth="1"/>
    <col min="10" max="10" width="20" customWidth="1"/>
    <col min="11" max="11" width="10" customWidth="1"/>
    <col min="12" max="12" width="22" customWidth="1"/>
    <col min="13" max="13" width="16" customWidth="1"/>
    <col min="14" max="14" width="18.5" customWidth="1"/>
    <col min="15" max="15" width="15" customWidth="1"/>
    <col min="16" max="16" width="35" customWidth="1"/>
    <col min="17" max="17" width="25" customWidth="1"/>
    <col min="18" max="18" width="10" customWidth="1"/>
    <col min="19" max="19" width="20" customWidth="1"/>
    <col min="20" max="20" width="11.6640625" customWidth="1"/>
    <col min="21" max="21" width="10.5" customWidth="1"/>
    <col min="23" max="23" width="20.6640625" customWidth="1"/>
    <col min="24" max="24" width="16.83203125" customWidth="1"/>
  </cols>
  <sheetData>
    <row r="1" spans="1:24" x14ac:dyDescent="0.2">
      <c r="A1" t="s">
        <v>14</v>
      </c>
      <c r="B1" t="s">
        <v>15</v>
      </c>
      <c r="C1" t="s">
        <v>33</v>
      </c>
      <c r="D1" t="s">
        <v>34</v>
      </c>
      <c r="E1" t="s">
        <v>35</v>
      </c>
      <c r="F1" t="s">
        <v>36</v>
      </c>
      <c r="G1" t="s">
        <v>13</v>
      </c>
      <c r="H1" t="s">
        <v>17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16</v>
      </c>
      <c r="P1" t="s">
        <v>18</v>
      </c>
      <c r="Q1" t="s">
        <v>43</v>
      </c>
      <c r="R1" t="s">
        <v>44</v>
      </c>
      <c r="S1" t="s">
        <v>22</v>
      </c>
      <c r="T1" t="s">
        <v>12</v>
      </c>
      <c r="U1" t="s">
        <v>19</v>
      </c>
      <c r="V1" t="s">
        <v>45</v>
      </c>
      <c r="W1" t="s">
        <v>46</v>
      </c>
      <c r="X1" t="s">
        <v>47</v>
      </c>
    </row>
    <row r="2" spans="1:24" x14ac:dyDescent="0.2">
      <c r="A2" t="s">
        <v>93</v>
      </c>
      <c r="B2" t="s">
        <v>70</v>
      </c>
      <c r="C2" t="s">
        <v>28</v>
      </c>
      <c r="D2" t="s">
        <v>49</v>
      </c>
      <c r="F2">
        <v>10</v>
      </c>
      <c r="G2" t="s">
        <v>57</v>
      </c>
      <c r="K2" t="s">
        <v>83</v>
      </c>
      <c r="P2" t="s">
        <v>78</v>
      </c>
      <c r="S2" t="s">
        <v>84</v>
      </c>
      <c r="T2" t="s">
        <v>53</v>
      </c>
      <c r="U2" t="s">
        <v>94</v>
      </c>
      <c r="V2">
        <v>3</v>
      </c>
    </row>
    <row r="3" spans="1:24" x14ac:dyDescent="0.2">
      <c r="A3" t="s">
        <v>495</v>
      </c>
      <c r="B3" t="s">
        <v>91</v>
      </c>
      <c r="C3" t="s">
        <v>28</v>
      </c>
      <c r="D3" t="s">
        <v>49</v>
      </c>
      <c r="F3">
        <v>10</v>
      </c>
      <c r="G3" t="s">
        <v>71</v>
      </c>
      <c r="K3" t="s">
        <v>58</v>
      </c>
      <c r="P3" t="s">
        <v>51</v>
      </c>
      <c r="T3" t="s">
        <v>53</v>
      </c>
      <c r="U3" t="s">
        <v>60</v>
      </c>
      <c r="V3">
        <v>1</v>
      </c>
    </row>
    <row r="4" spans="1:24" x14ac:dyDescent="0.2">
      <c r="A4" t="s">
        <v>125</v>
      </c>
      <c r="B4" t="s">
        <v>20</v>
      </c>
      <c r="C4" t="s">
        <v>140</v>
      </c>
      <c r="D4" t="s">
        <v>66</v>
      </c>
      <c r="F4">
        <v>10</v>
      </c>
      <c r="G4" t="s">
        <v>126</v>
      </c>
      <c r="P4" t="s">
        <v>59</v>
      </c>
      <c r="T4" t="s">
        <v>53</v>
      </c>
      <c r="U4" t="s">
        <v>127</v>
      </c>
    </row>
    <row r="5" spans="1:24" x14ac:dyDescent="0.2">
      <c r="A5" t="s">
        <v>486</v>
      </c>
      <c r="B5" t="s">
        <v>74</v>
      </c>
      <c r="C5" t="s">
        <v>28</v>
      </c>
      <c r="D5" t="s">
        <v>49</v>
      </c>
      <c r="F5">
        <v>10</v>
      </c>
      <c r="G5" t="s">
        <v>50</v>
      </c>
      <c r="P5" t="s">
        <v>78</v>
      </c>
      <c r="T5" t="s">
        <v>53</v>
      </c>
      <c r="U5" t="s">
        <v>64</v>
      </c>
    </row>
    <row r="6" spans="1:24" x14ac:dyDescent="0.2">
      <c r="A6" t="s">
        <v>95</v>
      </c>
      <c r="B6" t="s">
        <v>20</v>
      </c>
      <c r="C6" t="s">
        <v>144</v>
      </c>
      <c r="D6" t="s">
        <v>49</v>
      </c>
      <c r="F6">
        <v>10</v>
      </c>
      <c r="G6" t="s">
        <v>57</v>
      </c>
      <c r="P6" t="s">
        <v>78</v>
      </c>
      <c r="T6" t="s">
        <v>53</v>
      </c>
      <c r="U6" t="s">
        <v>68</v>
      </c>
    </row>
    <row r="7" spans="1:24" x14ac:dyDescent="0.2">
      <c r="A7" t="s">
        <v>120</v>
      </c>
      <c r="B7" t="s">
        <v>74</v>
      </c>
      <c r="C7" t="s">
        <v>28</v>
      </c>
      <c r="D7" t="s">
        <v>66</v>
      </c>
      <c r="F7">
        <v>10</v>
      </c>
      <c r="G7" t="s">
        <v>57</v>
      </c>
      <c r="P7" t="s">
        <v>78</v>
      </c>
      <c r="S7" t="s">
        <v>72</v>
      </c>
      <c r="T7" t="s">
        <v>53</v>
      </c>
    </row>
    <row r="8" spans="1:24" x14ac:dyDescent="0.2">
      <c r="A8" t="s">
        <v>150</v>
      </c>
      <c r="B8" t="s">
        <v>74</v>
      </c>
      <c r="C8" t="s">
        <v>31</v>
      </c>
      <c r="D8" t="s">
        <v>66</v>
      </c>
      <c r="F8">
        <v>10</v>
      </c>
      <c r="G8" t="s">
        <v>57</v>
      </c>
      <c r="K8" t="s">
        <v>82</v>
      </c>
      <c r="P8" t="s">
        <v>78</v>
      </c>
      <c r="S8" t="s">
        <v>52</v>
      </c>
      <c r="T8" t="s">
        <v>53</v>
      </c>
      <c r="U8" t="s">
        <v>76</v>
      </c>
    </row>
    <row r="9" spans="1:24" x14ac:dyDescent="0.2">
      <c r="A9" t="s">
        <v>496</v>
      </c>
      <c r="B9" t="s">
        <v>70</v>
      </c>
      <c r="C9" t="s">
        <v>30</v>
      </c>
      <c r="D9" t="s">
        <v>66</v>
      </c>
      <c r="F9">
        <v>10</v>
      </c>
      <c r="G9" t="s">
        <v>67</v>
      </c>
      <c r="P9" t="s">
        <v>78</v>
      </c>
      <c r="S9" t="s">
        <v>52</v>
      </c>
      <c r="T9" t="s">
        <v>53</v>
      </c>
      <c r="U9" t="s">
        <v>102</v>
      </c>
    </row>
    <row r="10" spans="1:24" x14ac:dyDescent="0.2">
      <c r="A10" t="s">
        <v>153</v>
      </c>
      <c r="B10" t="s">
        <v>70</v>
      </c>
      <c r="C10" t="s">
        <v>28</v>
      </c>
      <c r="D10" t="s">
        <v>66</v>
      </c>
      <c r="F10">
        <v>10</v>
      </c>
      <c r="G10" t="s">
        <v>112</v>
      </c>
      <c r="H10" t="s">
        <v>154</v>
      </c>
      <c r="P10" t="s">
        <v>78</v>
      </c>
      <c r="T10" t="s">
        <v>113</v>
      </c>
      <c r="U10" t="s">
        <v>76</v>
      </c>
    </row>
    <row r="11" spans="1:24" x14ac:dyDescent="0.2">
      <c r="A11" t="s">
        <v>132</v>
      </c>
      <c r="B11" t="s">
        <v>70</v>
      </c>
      <c r="C11" t="s">
        <v>31</v>
      </c>
      <c r="D11" t="s">
        <v>66</v>
      </c>
      <c r="F11">
        <v>10</v>
      </c>
      <c r="G11" t="s">
        <v>57</v>
      </c>
      <c r="K11" t="s">
        <v>133</v>
      </c>
      <c r="P11" t="s">
        <v>497</v>
      </c>
      <c r="T11" t="s">
        <v>53</v>
      </c>
      <c r="U11" t="s">
        <v>76</v>
      </c>
    </row>
    <row r="12" spans="1:24" x14ac:dyDescent="0.2">
      <c r="A12" t="s">
        <v>151</v>
      </c>
      <c r="B12" t="s">
        <v>70</v>
      </c>
      <c r="C12" t="s">
        <v>28</v>
      </c>
      <c r="D12" t="s">
        <v>56</v>
      </c>
      <c r="F12">
        <v>10</v>
      </c>
      <c r="G12" t="s">
        <v>57</v>
      </c>
      <c r="K12" t="s">
        <v>152</v>
      </c>
      <c r="P12" t="s">
        <v>497</v>
      </c>
      <c r="T12" t="s">
        <v>53</v>
      </c>
      <c r="U12" t="s">
        <v>62</v>
      </c>
    </row>
    <row r="13" spans="1:24" x14ac:dyDescent="0.2">
      <c r="A13" t="s">
        <v>487</v>
      </c>
      <c r="B13" t="s">
        <v>74</v>
      </c>
      <c r="C13" t="s">
        <v>31</v>
      </c>
      <c r="D13" t="s">
        <v>49</v>
      </c>
      <c r="F13">
        <v>10</v>
      </c>
      <c r="G13" t="s">
        <v>57</v>
      </c>
      <c r="K13" t="s">
        <v>83</v>
      </c>
      <c r="P13" t="s">
        <v>497</v>
      </c>
      <c r="S13" t="s">
        <v>84</v>
      </c>
      <c r="T13" t="s">
        <v>53</v>
      </c>
      <c r="U13" t="s">
        <v>62</v>
      </c>
      <c r="V13">
        <v>1</v>
      </c>
    </row>
    <row r="14" spans="1:24" x14ac:dyDescent="0.2">
      <c r="A14" t="s">
        <v>498</v>
      </c>
      <c r="B14" t="s">
        <v>70</v>
      </c>
      <c r="C14" t="s">
        <v>28</v>
      </c>
      <c r="D14" t="s">
        <v>49</v>
      </c>
      <c r="F14">
        <v>10</v>
      </c>
      <c r="G14" t="s">
        <v>50</v>
      </c>
      <c r="H14" t="s">
        <v>88</v>
      </c>
      <c r="P14" t="s">
        <v>59</v>
      </c>
      <c r="S14" t="s">
        <v>89</v>
      </c>
      <c r="T14" t="s">
        <v>53</v>
      </c>
      <c r="U14" t="s">
        <v>127</v>
      </c>
    </row>
    <row r="15" spans="1:24" x14ac:dyDescent="0.2">
      <c r="A15" t="s">
        <v>55</v>
      </c>
      <c r="B15" t="s">
        <v>48</v>
      </c>
      <c r="C15" t="s">
        <v>28</v>
      </c>
      <c r="D15" t="s">
        <v>56</v>
      </c>
      <c r="F15">
        <v>10</v>
      </c>
      <c r="G15" t="s">
        <v>57</v>
      </c>
      <c r="K15" t="s">
        <v>58</v>
      </c>
      <c r="P15" t="s">
        <v>59</v>
      </c>
      <c r="T15" t="s">
        <v>53</v>
      </c>
      <c r="U15" t="s">
        <v>60</v>
      </c>
      <c r="V15">
        <v>1</v>
      </c>
    </row>
    <row r="16" spans="1:24" x14ac:dyDescent="0.2">
      <c r="A16" t="s">
        <v>61</v>
      </c>
      <c r="B16" t="s">
        <v>48</v>
      </c>
      <c r="C16" t="s">
        <v>28</v>
      </c>
      <c r="D16" t="s">
        <v>49</v>
      </c>
      <c r="F16">
        <v>10</v>
      </c>
      <c r="G16" t="s">
        <v>57</v>
      </c>
      <c r="H16" t="s">
        <v>88</v>
      </c>
      <c r="P16" t="s">
        <v>59</v>
      </c>
      <c r="S16" t="s">
        <v>89</v>
      </c>
      <c r="T16" t="s">
        <v>53</v>
      </c>
      <c r="U16" t="s">
        <v>62</v>
      </c>
    </row>
    <row r="17" spans="1:22" x14ac:dyDescent="0.2">
      <c r="A17" t="s">
        <v>63</v>
      </c>
      <c r="B17" t="s">
        <v>48</v>
      </c>
      <c r="C17" t="s">
        <v>28</v>
      </c>
      <c r="D17" t="s">
        <v>49</v>
      </c>
      <c r="F17">
        <v>10</v>
      </c>
      <c r="G17" t="s">
        <v>57</v>
      </c>
      <c r="P17" t="s">
        <v>59</v>
      </c>
      <c r="T17" t="s">
        <v>53</v>
      </c>
      <c r="U17" t="s">
        <v>64</v>
      </c>
    </row>
    <row r="18" spans="1:22" x14ac:dyDescent="0.2">
      <c r="A18" t="s">
        <v>65</v>
      </c>
      <c r="B18" t="s">
        <v>48</v>
      </c>
      <c r="C18" t="s">
        <v>28</v>
      </c>
      <c r="D18" t="s">
        <v>66</v>
      </c>
      <c r="F18">
        <v>10</v>
      </c>
      <c r="G18" t="s">
        <v>67</v>
      </c>
      <c r="K18" t="s">
        <v>83</v>
      </c>
      <c r="P18" t="s">
        <v>59</v>
      </c>
      <c r="S18" t="s">
        <v>84</v>
      </c>
      <c r="T18" t="s">
        <v>53</v>
      </c>
      <c r="U18" t="s">
        <v>68</v>
      </c>
      <c r="V18">
        <v>3</v>
      </c>
    </row>
    <row r="19" spans="1:22" x14ac:dyDescent="0.2">
      <c r="A19" t="s">
        <v>69</v>
      </c>
      <c r="B19" t="s">
        <v>70</v>
      </c>
      <c r="C19" t="s">
        <v>28</v>
      </c>
      <c r="D19" t="s">
        <v>66</v>
      </c>
      <c r="F19">
        <v>10</v>
      </c>
      <c r="G19" t="s">
        <v>71</v>
      </c>
      <c r="P19" t="s">
        <v>51</v>
      </c>
      <c r="S19" t="s">
        <v>72</v>
      </c>
      <c r="T19" t="s">
        <v>53</v>
      </c>
    </row>
    <row r="20" spans="1:22" x14ac:dyDescent="0.2">
      <c r="A20" t="s">
        <v>73</v>
      </c>
      <c r="B20" t="s">
        <v>74</v>
      </c>
      <c r="C20" t="s">
        <v>28</v>
      </c>
      <c r="D20" t="s">
        <v>66</v>
      </c>
      <c r="F20">
        <v>10</v>
      </c>
      <c r="G20" t="s">
        <v>75</v>
      </c>
      <c r="K20" t="s">
        <v>83</v>
      </c>
      <c r="P20" t="s">
        <v>78</v>
      </c>
      <c r="S20" t="s">
        <v>52</v>
      </c>
      <c r="T20" t="s">
        <v>53</v>
      </c>
      <c r="U20" t="s">
        <v>76</v>
      </c>
      <c r="V20">
        <v>4</v>
      </c>
    </row>
    <row r="21" spans="1:22" x14ac:dyDescent="0.2">
      <c r="A21" t="s">
        <v>77</v>
      </c>
      <c r="B21" t="s">
        <v>20</v>
      </c>
      <c r="C21" t="s">
        <v>144</v>
      </c>
      <c r="D21" t="s">
        <v>66</v>
      </c>
      <c r="F21">
        <v>10</v>
      </c>
      <c r="G21" t="s">
        <v>57</v>
      </c>
      <c r="K21" t="s">
        <v>83</v>
      </c>
      <c r="P21" t="s">
        <v>142</v>
      </c>
      <c r="S21" t="s">
        <v>52</v>
      </c>
      <c r="T21" t="s">
        <v>53</v>
      </c>
      <c r="U21" t="s">
        <v>79</v>
      </c>
      <c r="V21">
        <v>2</v>
      </c>
    </row>
    <row r="22" spans="1:22" x14ac:dyDescent="0.2">
      <c r="A22" t="s">
        <v>80</v>
      </c>
      <c r="B22" t="s">
        <v>74</v>
      </c>
      <c r="C22" t="s">
        <v>28</v>
      </c>
      <c r="D22" t="s">
        <v>66</v>
      </c>
      <c r="F22">
        <v>10</v>
      </c>
      <c r="G22" t="s">
        <v>57</v>
      </c>
      <c r="T22" t="s">
        <v>53</v>
      </c>
      <c r="U22" t="s">
        <v>76</v>
      </c>
    </row>
    <row r="23" spans="1:22" x14ac:dyDescent="0.2">
      <c r="A23" t="s">
        <v>81</v>
      </c>
      <c r="B23" t="s">
        <v>74</v>
      </c>
      <c r="C23" t="s">
        <v>28</v>
      </c>
      <c r="D23" t="s">
        <v>66</v>
      </c>
      <c r="F23">
        <v>10</v>
      </c>
      <c r="G23" t="s">
        <v>71</v>
      </c>
      <c r="S23" t="s">
        <v>52</v>
      </c>
      <c r="T23" t="s">
        <v>53</v>
      </c>
      <c r="U23" t="s">
        <v>100</v>
      </c>
    </row>
    <row r="24" spans="1:22" x14ac:dyDescent="0.2">
      <c r="A24" t="s">
        <v>499</v>
      </c>
      <c r="B24" t="s">
        <v>48</v>
      </c>
      <c r="C24" t="s">
        <v>28</v>
      </c>
      <c r="D24" t="s">
        <v>56</v>
      </c>
      <c r="F24">
        <v>10</v>
      </c>
      <c r="G24" t="s">
        <v>57</v>
      </c>
      <c r="K24" t="s">
        <v>82</v>
      </c>
      <c r="P24" t="s">
        <v>59</v>
      </c>
      <c r="T24" t="s">
        <v>53</v>
      </c>
      <c r="U24" t="s">
        <v>62</v>
      </c>
    </row>
    <row r="25" spans="1:22" x14ac:dyDescent="0.2">
      <c r="A25" t="s">
        <v>500</v>
      </c>
      <c r="B25" t="s">
        <v>48</v>
      </c>
      <c r="C25" t="s">
        <v>28</v>
      </c>
      <c r="D25" t="s">
        <v>49</v>
      </c>
      <c r="F25">
        <v>10</v>
      </c>
      <c r="G25" t="s">
        <v>57</v>
      </c>
      <c r="K25" t="s">
        <v>83</v>
      </c>
      <c r="P25" t="s">
        <v>59</v>
      </c>
      <c r="S25" t="s">
        <v>84</v>
      </c>
      <c r="T25" t="s">
        <v>53</v>
      </c>
      <c r="U25" t="s">
        <v>62</v>
      </c>
      <c r="V25">
        <v>1</v>
      </c>
    </row>
    <row r="26" spans="1:22" x14ac:dyDescent="0.2">
      <c r="A26" t="s">
        <v>501</v>
      </c>
      <c r="B26" t="s">
        <v>96</v>
      </c>
      <c r="C26" t="s">
        <v>28</v>
      </c>
      <c r="D26" t="s">
        <v>49</v>
      </c>
      <c r="F26">
        <v>10</v>
      </c>
      <c r="G26" t="s">
        <v>57</v>
      </c>
      <c r="K26" t="s">
        <v>83</v>
      </c>
      <c r="P26" t="s">
        <v>78</v>
      </c>
      <c r="T26" t="s">
        <v>53</v>
      </c>
      <c r="V26">
        <v>4</v>
      </c>
    </row>
    <row r="27" spans="1:22" x14ac:dyDescent="0.2">
      <c r="A27" t="s">
        <v>502</v>
      </c>
      <c r="B27" t="s">
        <v>48</v>
      </c>
      <c r="C27" t="s">
        <v>28</v>
      </c>
      <c r="D27" t="s">
        <v>49</v>
      </c>
      <c r="F27">
        <v>10</v>
      </c>
      <c r="G27" t="s">
        <v>50</v>
      </c>
      <c r="P27" t="s">
        <v>59</v>
      </c>
      <c r="S27" t="s">
        <v>52</v>
      </c>
      <c r="T27" t="s">
        <v>53</v>
      </c>
      <c r="U27" t="s">
        <v>54</v>
      </c>
    </row>
    <row r="28" spans="1:22" x14ac:dyDescent="0.2">
      <c r="A28" t="s">
        <v>85</v>
      </c>
      <c r="B28" t="s">
        <v>70</v>
      </c>
      <c r="C28" t="s">
        <v>28</v>
      </c>
      <c r="D28" t="s">
        <v>49</v>
      </c>
      <c r="F28">
        <v>10</v>
      </c>
      <c r="G28" t="s">
        <v>86</v>
      </c>
      <c r="P28" t="s">
        <v>59</v>
      </c>
      <c r="T28" t="s">
        <v>53</v>
      </c>
      <c r="U28" t="s">
        <v>76</v>
      </c>
    </row>
    <row r="29" spans="1:22" x14ac:dyDescent="0.2">
      <c r="A29" t="s">
        <v>87</v>
      </c>
      <c r="B29" t="s">
        <v>70</v>
      </c>
      <c r="C29" t="s">
        <v>28</v>
      </c>
      <c r="D29" t="s">
        <v>49</v>
      </c>
      <c r="F29">
        <v>10</v>
      </c>
      <c r="G29" t="s">
        <v>57</v>
      </c>
      <c r="K29" t="s">
        <v>83</v>
      </c>
      <c r="S29" t="s">
        <v>84</v>
      </c>
      <c r="T29" t="s">
        <v>53</v>
      </c>
    </row>
    <row r="30" spans="1:22" x14ac:dyDescent="0.2">
      <c r="A30" t="s">
        <v>90</v>
      </c>
      <c r="B30" t="s">
        <v>91</v>
      </c>
      <c r="C30" t="s">
        <v>28</v>
      </c>
      <c r="D30" t="s">
        <v>66</v>
      </c>
      <c r="F30">
        <v>10</v>
      </c>
      <c r="G30" t="s">
        <v>57</v>
      </c>
      <c r="K30" t="s">
        <v>82</v>
      </c>
      <c r="P30" t="s">
        <v>59</v>
      </c>
      <c r="S30" t="s">
        <v>109</v>
      </c>
      <c r="T30" t="s">
        <v>53</v>
      </c>
      <c r="U30" t="s">
        <v>92</v>
      </c>
      <c r="V30">
        <v>2</v>
      </c>
    </row>
    <row r="31" spans="1:22" x14ac:dyDescent="0.2">
      <c r="A31" t="s">
        <v>118</v>
      </c>
      <c r="B31" t="s">
        <v>122</v>
      </c>
      <c r="C31" t="s">
        <v>28</v>
      </c>
      <c r="D31" t="s">
        <v>66</v>
      </c>
      <c r="F31">
        <v>10</v>
      </c>
      <c r="G31" t="s">
        <v>119</v>
      </c>
      <c r="K31" t="s">
        <v>111</v>
      </c>
      <c r="P31" t="s">
        <v>51</v>
      </c>
      <c r="T31" t="s">
        <v>53</v>
      </c>
    </row>
    <row r="32" spans="1:22" x14ac:dyDescent="0.2">
      <c r="A32" t="s">
        <v>97</v>
      </c>
      <c r="B32" t="s">
        <v>20</v>
      </c>
      <c r="C32" t="s">
        <v>28</v>
      </c>
      <c r="D32" t="s">
        <v>49</v>
      </c>
      <c r="F32">
        <v>10</v>
      </c>
      <c r="G32" t="s">
        <v>57</v>
      </c>
      <c r="K32" t="s">
        <v>83</v>
      </c>
      <c r="P32" t="s">
        <v>78</v>
      </c>
      <c r="S32" t="s">
        <v>84</v>
      </c>
      <c r="T32" t="s">
        <v>53</v>
      </c>
      <c r="U32" t="s">
        <v>76</v>
      </c>
      <c r="V32">
        <v>4</v>
      </c>
    </row>
    <row r="33" spans="1:22" x14ac:dyDescent="0.2">
      <c r="A33" t="s">
        <v>503</v>
      </c>
      <c r="B33" t="s">
        <v>74</v>
      </c>
      <c r="C33" t="s">
        <v>28</v>
      </c>
      <c r="D33" t="s">
        <v>49</v>
      </c>
      <c r="F33">
        <v>10</v>
      </c>
      <c r="G33" t="s">
        <v>57</v>
      </c>
      <c r="P33" t="s">
        <v>78</v>
      </c>
      <c r="S33" t="s">
        <v>72</v>
      </c>
      <c r="T33" t="s">
        <v>53</v>
      </c>
      <c r="U33" t="s">
        <v>64</v>
      </c>
    </row>
    <row r="34" spans="1:22" x14ac:dyDescent="0.2">
      <c r="A34" t="s">
        <v>504</v>
      </c>
      <c r="B34" t="s">
        <v>91</v>
      </c>
      <c r="C34" t="s">
        <v>28</v>
      </c>
      <c r="D34" t="s">
        <v>49</v>
      </c>
      <c r="F34">
        <v>10</v>
      </c>
      <c r="G34" t="s">
        <v>99</v>
      </c>
      <c r="P34" t="s">
        <v>51</v>
      </c>
      <c r="S34" t="s">
        <v>52</v>
      </c>
      <c r="T34" t="s">
        <v>53</v>
      </c>
      <c r="U34" t="s">
        <v>100</v>
      </c>
    </row>
    <row r="35" spans="1:22" x14ac:dyDescent="0.2">
      <c r="A35" t="s">
        <v>505</v>
      </c>
      <c r="B35" t="s">
        <v>91</v>
      </c>
      <c r="C35" t="s">
        <v>28</v>
      </c>
      <c r="D35" t="s">
        <v>49</v>
      </c>
      <c r="F35">
        <v>10</v>
      </c>
      <c r="G35" t="s">
        <v>50</v>
      </c>
      <c r="K35" t="s">
        <v>116</v>
      </c>
      <c r="T35" t="s">
        <v>53</v>
      </c>
    </row>
    <row r="36" spans="1:22" x14ac:dyDescent="0.2">
      <c r="A36" t="s">
        <v>101</v>
      </c>
      <c r="B36" t="s">
        <v>74</v>
      </c>
      <c r="C36" t="s">
        <v>28</v>
      </c>
      <c r="D36" t="s">
        <v>49</v>
      </c>
      <c r="F36">
        <v>10</v>
      </c>
      <c r="G36" t="s">
        <v>57</v>
      </c>
      <c r="S36" t="s">
        <v>72</v>
      </c>
      <c r="T36" t="s">
        <v>53</v>
      </c>
      <c r="U36" t="s">
        <v>102</v>
      </c>
    </row>
    <row r="37" spans="1:22" x14ac:dyDescent="0.2">
      <c r="A37" t="s">
        <v>103</v>
      </c>
      <c r="B37" t="s">
        <v>70</v>
      </c>
      <c r="C37" t="s">
        <v>28</v>
      </c>
      <c r="D37" t="s">
        <v>49</v>
      </c>
      <c r="F37">
        <v>10</v>
      </c>
      <c r="G37" t="s">
        <v>57</v>
      </c>
      <c r="K37" t="s">
        <v>104</v>
      </c>
      <c r="P37" t="s">
        <v>78</v>
      </c>
      <c r="T37" t="s">
        <v>53</v>
      </c>
    </row>
    <row r="38" spans="1:22" x14ac:dyDescent="0.2">
      <c r="A38" t="s">
        <v>105</v>
      </c>
      <c r="B38" t="s">
        <v>122</v>
      </c>
      <c r="C38" t="s">
        <v>28</v>
      </c>
      <c r="D38" t="s">
        <v>49</v>
      </c>
      <c r="F38">
        <v>10</v>
      </c>
      <c r="G38" t="s">
        <v>57</v>
      </c>
      <c r="P38" t="s">
        <v>51</v>
      </c>
      <c r="T38" t="s">
        <v>53</v>
      </c>
    </row>
    <row r="39" spans="1:22" x14ac:dyDescent="0.2">
      <c r="A39" t="s">
        <v>106</v>
      </c>
      <c r="B39" t="s">
        <v>74</v>
      </c>
      <c r="C39" t="s">
        <v>28</v>
      </c>
      <c r="D39" t="s">
        <v>49</v>
      </c>
      <c r="F39">
        <v>10</v>
      </c>
      <c r="G39" t="s">
        <v>107</v>
      </c>
      <c r="K39" t="s">
        <v>123</v>
      </c>
      <c r="T39" t="s">
        <v>53</v>
      </c>
    </row>
    <row r="40" spans="1:22" x14ac:dyDescent="0.2">
      <c r="A40" t="s">
        <v>506</v>
      </c>
      <c r="B40" t="s">
        <v>74</v>
      </c>
      <c r="C40" t="s">
        <v>30</v>
      </c>
      <c r="D40" t="s">
        <v>49</v>
      </c>
      <c r="F40">
        <v>10</v>
      </c>
      <c r="G40" t="s">
        <v>86</v>
      </c>
      <c r="K40" t="s">
        <v>83</v>
      </c>
      <c r="P40" t="s">
        <v>59</v>
      </c>
      <c r="S40" t="s">
        <v>84</v>
      </c>
      <c r="T40" t="s">
        <v>53</v>
      </c>
      <c r="U40" t="s">
        <v>124</v>
      </c>
    </row>
    <row r="41" spans="1:22" x14ac:dyDescent="0.2">
      <c r="A41" t="s">
        <v>108</v>
      </c>
      <c r="B41" t="s">
        <v>70</v>
      </c>
      <c r="C41" t="s">
        <v>28</v>
      </c>
      <c r="D41" t="s">
        <v>56</v>
      </c>
      <c r="F41">
        <v>10</v>
      </c>
      <c r="G41" t="s">
        <v>57</v>
      </c>
      <c r="K41" t="s">
        <v>82</v>
      </c>
      <c r="P41" t="s">
        <v>51</v>
      </c>
      <c r="S41" t="s">
        <v>109</v>
      </c>
      <c r="T41" t="s">
        <v>53</v>
      </c>
      <c r="U41" t="s">
        <v>127</v>
      </c>
      <c r="V41">
        <v>2</v>
      </c>
    </row>
    <row r="42" spans="1:22" x14ac:dyDescent="0.2">
      <c r="A42" t="s">
        <v>98</v>
      </c>
      <c r="B42" t="s">
        <v>20</v>
      </c>
      <c r="C42" t="s">
        <v>28</v>
      </c>
      <c r="D42" t="s">
        <v>49</v>
      </c>
      <c r="F42">
        <v>10</v>
      </c>
      <c r="G42" t="s">
        <v>57</v>
      </c>
      <c r="K42" t="s">
        <v>83</v>
      </c>
      <c r="P42" t="s">
        <v>51</v>
      </c>
      <c r="T42" t="s">
        <v>53</v>
      </c>
      <c r="U42" t="s">
        <v>62</v>
      </c>
      <c r="V42">
        <v>2</v>
      </c>
    </row>
    <row r="43" spans="1:22" x14ac:dyDescent="0.2">
      <c r="A43" t="s">
        <v>110</v>
      </c>
      <c r="B43" t="s">
        <v>70</v>
      </c>
      <c r="C43" t="s">
        <v>28</v>
      </c>
      <c r="D43" t="s">
        <v>56</v>
      </c>
      <c r="F43">
        <v>10</v>
      </c>
      <c r="G43" t="s">
        <v>57</v>
      </c>
      <c r="K43" t="s">
        <v>111</v>
      </c>
      <c r="P43" t="s">
        <v>51</v>
      </c>
      <c r="T43" t="s">
        <v>53</v>
      </c>
    </row>
    <row r="44" spans="1:22" x14ac:dyDescent="0.2">
      <c r="A44" t="s">
        <v>507</v>
      </c>
      <c r="B44" t="s">
        <v>70</v>
      </c>
      <c r="C44" t="s">
        <v>28</v>
      </c>
      <c r="D44" t="s">
        <v>66</v>
      </c>
      <c r="F44">
        <v>50</v>
      </c>
      <c r="G44" t="s">
        <v>57</v>
      </c>
      <c r="S44" t="s">
        <v>52</v>
      </c>
      <c r="T44" t="s">
        <v>53</v>
      </c>
      <c r="U44" t="s">
        <v>76</v>
      </c>
    </row>
    <row r="45" spans="1:22" x14ac:dyDescent="0.2">
      <c r="A45" t="s">
        <v>508</v>
      </c>
      <c r="B45" t="s">
        <v>70</v>
      </c>
      <c r="C45" t="s">
        <v>28</v>
      </c>
      <c r="D45" t="s">
        <v>66</v>
      </c>
      <c r="G45" t="s">
        <v>57</v>
      </c>
      <c r="P45" t="s">
        <v>78</v>
      </c>
      <c r="S45" t="s">
        <v>72</v>
      </c>
      <c r="T45" t="s">
        <v>53</v>
      </c>
    </row>
    <row r="46" spans="1:22" x14ac:dyDescent="0.2">
      <c r="A46" t="s">
        <v>509</v>
      </c>
      <c r="B46" t="s">
        <v>91</v>
      </c>
      <c r="C46" t="s">
        <v>28</v>
      </c>
      <c r="D46" t="s">
        <v>66</v>
      </c>
      <c r="G46" t="s">
        <v>510</v>
      </c>
      <c r="K46" t="s">
        <v>133</v>
      </c>
      <c r="P46" t="s">
        <v>51</v>
      </c>
      <c r="T46" t="s">
        <v>113</v>
      </c>
      <c r="U46" t="s">
        <v>76</v>
      </c>
    </row>
    <row r="47" spans="1:22" x14ac:dyDescent="0.2">
      <c r="A47" t="s">
        <v>114</v>
      </c>
      <c r="B47" t="s">
        <v>96</v>
      </c>
      <c r="C47" t="s">
        <v>28</v>
      </c>
      <c r="D47" t="s">
        <v>66</v>
      </c>
      <c r="G47" t="s">
        <v>115</v>
      </c>
      <c r="K47" t="s">
        <v>116</v>
      </c>
      <c r="T47" t="s">
        <v>53</v>
      </c>
    </row>
    <row r="48" spans="1:22" x14ac:dyDescent="0.2">
      <c r="A48" t="s">
        <v>117</v>
      </c>
      <c r="B48" t="s">
        <v>70</v>
      </c>
      <c r="C48" t="s">
        <v>28</v>
      </c>
      <c r="D48" t="s">
        <v>66</v>
      </c>
      <c r="G48" t="s">
        <v>57</v>
      </c>
      <c r="S48" t="s">
        <v>72</v>
      </c>
      <c r="T48" t="s">
        <v>53</v>
      </c>
      <c r="U48" t="s">
        <v>76</v>
      </c>
    </row>
    <row r="49" spans="1:22" x14ac:dyDescent="0.2">
      <c r="A49" t="s">
        <v>121</v>
      </c>
      <c r="B49" t="s">
        <v>122</v>
      </c>
      <c r="D49" t="s">
        <v>66</v>
      </c>
      <c r="G49" t="s">
        <v>115</v>
      </c>
      <c r="K49" t="s">
        <v>123</v>
      </c>
      <c r="P49" t="s">
        <v>51</v>
      </c>
      <c r="T49" t="s">
        <v>53</v>
      </c>
    </row>
    <row r="50" spans="1:22" x14ac:dyDescent="0.2">
      <c r="A50" t="s">
        <v>511</v>
      </c>
      <c r="B50" t="s">
        <v>20</v>
      </c>
      <c r="C50" t="s">
        <v>144</v>
      </c>
      <c r="D50" t="s">
        <v>66</v>
      </c>
      <c r="G50" t="s">
        <v>57</v>
      </c>
      <c r="P50" t="s">
        <v>142</v>
      </c>
      <c r="T50" t="s">
        <v>53</v>
      </c>
      <c r="U50" t="s">
        <v>124</v>
      </c>
    </row>
    <row r="51" spans="1:22" x14ac:dyDescent="0.2">
      <c r="A51" t="s">
        <v>128</v>
      </c>
      <c r="B51" t="s">
        <v>48</v>
      </c>
      <c r="C51" t="s">
        <v>28</v>
      </c>
      <c r="D51" t="s">
        <v>66</v>
      </c>
      <c r="G51" t="s">
        <v>57</v>
      </c>
      <c r="K51" t="s">
        <v>83</v>
      </c>
      <c r="P51" t="s">
        <v>78</v>
      </c>
      <c r="T51" t="s">
        <v>53</v>
      </c>
      <c r="V51">
        <v>5</v>
      </c>
    </row>
    <row r="52" spans="1:22" x14ac:dyDescent="0.2">
      <c r="A52" t="s">
        <v>129</v>
      </c>
      <c r="B52" t="s">
        <v>96</v>
      </c>
      <c r="C52" t="s">
        <v>31</v>
      </c>
      <c r="G52" t="s">
        <v>57</v>
      </c>
      <c r="K52" t="s">
        <v>83</v>
      </c>
      <c r="T52" t="s">
        <v>53</v>
      </c>
      <c r="V52">
        <v>5</v>
      </c>
    </row>
    <row r="53" spans="1:22" x14ac:dyDescent="0.2">
      <c r="A53" t="s">
        <v>130</v>
      </c>
      <c r="B53" t="s">
        <v>74</v>
      </c>
      <c r="C53" t="s">
        <v>28</v>
      </c>
      <c r="D53" t="s">
        <v>66</v>
      </c>
      <c r="G53" t="s">
        <v>57</v>
      </c>
      <c r="K53" t="s">
        <v>83</v>
      </c>
      <c r="T53" t="s">
        <v>53</v>
      </c>
      <c r="V53">
        <v>4</v>
      </c>
    </row>
    <row r="54" spans="1:22" x14ac:dyDescent="0.2">
      <c r="A54" t="s">
        <v>131</v>
      </c>
      <c r="B54" t="s">
        <v>74</v>
      </c>
      <c r="C54" t="s">
        <v>31</v>
      </c>
      <c r="G54" t="s">
        <v>50</v>
      </c>
      <c r="P54" t="s">
        <v>78</v>
      </c>
      <c r="T54" t="s">
        <v>53</v>
      </c>
      <c r="U54" t="s">
        <v>124</v>
      </c>
    </row>
    <row r="55" spans="1:22" x14ac:dyDescent="0.2">
      <c r="A55" t="s">
        <v>134</v>
      </c>
      <c r="B55" t="s">
        <v>74</v>
      </c>
      <c r="C55" t="s">
        <v>31</v>
      </c>
      <c r="G55" t="s">
        <v>57</v>
      </c>
      <c r="P55" t="s">
        <v>142</v>
      </c>
      <c r="S55" t="s">
        <v>84</v>
      </c>
      <c r="T55" t="s">
        <v>53</v>
      </c>
    </row>
    <row r="56" spans="1:22" x14ac:dyDescent="0.2">
      <c r="A56" t="s">
        <v>135</v>
      </c>
      <c r="B56" t="s">
        <v>74</v>
      </c>
      <c r="C56" t="s">
        <v>28</v>
      </c>
      <c r="D56" t="s">
        <v>56</v>
      </c>
      <c r="G56" t="s">
        <v>57</v>
      </c>
      <c r="P56" t="s">
        <v>51</v>
      </c>
      <c r="T56" t="s">
        <v>53</v>
      </c>
      <c r="U56" t="s">
        <v>76</v>
      </c>
    </row>
    <row r="57" spans="1:22" x14ac:dyDescent="0.2">
      <c r="A57" t="s">
        <v>136</v>
      </c>
      <c r="B57" t="s">
        <v>74</v>
      </c>
      <c r="C57" t="s">
        <v>144</v>
      </c>
      <c r="G57" t="s">
        <v>57</v>
      </c>
      <c r="P57" t="s">
        <v>51</v>
      </c>
      <c r="T57" t="s">
        <v>53</v>
      </c>
    </row>
    <row r="58" spans="1:22" x14ac:dyDescent="0.2">
      <c r="A58" t="s">
        <v>137</v>
      </c>
      <c r="B58" t="s">
        <v>96</v>
      </c>
      <c r="C58" t="s">
        <v>31</v>
      </c>
      <c r="G58" t="s">
        <v>57</v>
      </c>
      <c r="K58" t="s">
        <v>83</v>
      </c>
      <c r="P58" t="s">
        <v>51</v>
      </c>
      <c r="T58" t="s">
        <v>53</v>
      </c>
      <c r="V58">
        <v>5</v>
      </c>
    </row>
    <row r="59" spans="1:22" x14ac:dyDescent="0.2">
      <c r="A59" t="s">
        <v>138</v>
      </c>
      <c r="B59" t="s">
        <v>96</v>
      </c>
      <c r="C59" t="s">
        <v>31</v>
      </c>
      <c r="G59" t="s">
        <v>57</v>
      </c>
      <c r="K59" t="s">
        <v>83</v>
      </c>
      <c r="P59" t="s">
        <v>51</v>
      </c>
      <c r="T59" t="s">
        <v>53</v>
      </c>
      <c r="V59">
        <v>5</v>
      </c>
    </row>
    <row r="60" spans="1:22" x14ac:dyDescent="0.2">
      <c r="A60" t="s">
        <v>512</v>
      </c>
      <c r="B60" t="s">
        <v>96</v>
      </c>
      <c r="C60" t="s">
        <v>30</v>
      </c>
      <c r="G60" t="s">
        <v>57</v>
      </c>
      <c r="H60" t="s">
        <v>154</v>
      </c>
      <c r="K60" t="s">
        <v>83</v>
      </c>
      <c r="P60" t="s">
        <v>51</v>
      </c>
      <c r="T60" t="s">
        <v>53</v>
      </c>
      <c r="V60">
        <v>4</v>
      </c>
    </row>
    <row r="61" spans="1:22" x14ac:dyDescent="0.2">
      <c r="A61" t="s">
        <v>139</v>
      </c>
      <c r="B61" t="s">
        <v>20</v>
      </c>
      <c r="C61" t="s">
        <v>140</v>
      </c>
      <c r="G61" t="s">
        <v>141</v>
      </c>
      <c r="K61" t="s">
        <v>58</v>
      </c>
      <c r="P61" t="s">
        <v>142</v>
      </c>
      <c r="T61" t="s">
        <v>53</v>
      </c>
      <c r="U61" t="s">
        <v>124</v>
      </c>
      <c r="V61">
        <v>1</v>
      </c>
    </row>
    <row r="62" spans="1:22" x14ac:dyDescent="0.2">
      <c r="A62" t="s">
        <v>143</v>
      </c>
      <c r="B62" t="s">
        <v>20</v>
      </c>
      <c r="C62" t="s">
        <v>144</v>
      </c>
      <c r="G62" t="s">
        <v>145</v>
      </c>
      <c r="P62" t="s">
        <v>142</v>
      </c>
      <c r="S62" t="s">
        <v>84</v>
      </c>
      <c r="T62" t="s">
        <v>53</v>
      </c>
    </row>
    <row r="63" spans="1:22" x14ac:dyDescent="0.2">
      <c r="A63" t="s">
        <v>146</v>
      </c>
      <c r="B63" t="s">
        <v>20</v>
      </c>
      <c r="C63" t="s">
        <v>144</v>
      </c>
      <c r="G63" t="s">
        <v>57</v>
      </c>
      <c r="P63" t="s">
        <v>147</v>
      </c>
      <c r="T63" t="s">
        <v>53</v>
      </c>
    </row>
    <row r="64" spans="1:22" x14ac:dyDescent="0.2">
      <c r="A64" t="s">
        <v>148</v>
      </c>
      <c r="B64" t="s">
        <v>20</v>
      </c>
      <c r="C64" t="s">
        <v>144</v>
      </c>
      <c r="G64" t="s">
        <v>57</v>
      </c>
      <c r="P64" t="s">
        <v>149</v>
      </c>
      <c r="T64" t="s">
        <v>53</v>
      </c>
    </row>
    <row r="65" spans="1:22" x14ac:dyDescent="0.2">
      <c r="A65" t="s">
        <v>155</v>
      </c>
      <c r="B65" t="s">
        <v>20</v>
      </c>
      <c r="C65" t="s">
        <v>140</v>
      </c>
      <c r="G65" t="s">
        <v>57</v>
      </c>
      <c r="K65" t="s">
        <v>58</v>
      </c>
      <c r="P65" t="s">
        <v>149</v>
      </c>
      <c r="T65" t="s">
        <v>53</v>
      </c>
      <c r="V65">
        <v>1</v>
      </c>
    </row>
    <row r="66" spans="1:22" x14ac:dyDescent="0.2">
      <c r="A66" t="s">
        <v>156</v>
      </c>
      <c r="B66" t="s">
        <v>91</v>
      </c>
      <c r="C66" t="s">
        <v>31</v>
      </c>
      <c r="G66" t="s">
        <v>57</v>
      </c>
      <c r="P66" t="s">
        <v>78</v>
      </c>
      <c r="T66" t="s">
        <v>53</v>
      </c>
    </row>
    <row r="67" spans="1:22" x14ac:dyDescent="0.2">
      <c r="A67" t="s">
        <v>157</v>
      </c>
      <c r="B67" t="s">
        <v>74</v>
      </c>
      <c r="C67" t="s">
        <v>31</v>
      </c>
      <c r="G67" t="s">
        <v>57</v>
      </c>
      <c r="P67" t="s">
        <v>78</v>
      </c>
      <c r="T67" t="s">
        <v>53</v>
      </c>
    </row>
    <row r="68" spans="1:22" x14ac:dyDescent="0.2">
      <c r="A68" t="s">
        <v>158</v>
      </c>
      <c r="B68" t="s">
        <v>74</v>
      </c>
      <c r="C68" t="s">
        <v>31</v>
      </c>
      <c r="G68" t="s">
        <v>159</v>
      </c>
      <c r="K68" t="s">
        <v>111</v>
      </c>
      <c r="P68" t="s">
        <v>78</v>
      </c>
      <c r="T68" t="s">
        <v>113</v>
      </c>
    </row>
    <row r="69" spans="1:22" x14ac:dyDescent="0.2">
      <c r="A69" t="s">
        <v>160</v>
      </c>
      <c r="B69" t="s">
        <v>91</v>
      </c>
      <c r="C69" t="s">
        <v>31</v>
      </c>
      <c r="G69" t="s">
        <v>57</v>
      </c>
      <c r="P69" t="s">
        <v>78</v>
      </c>
      <c r="S69" t="s">
        <v>52</v>
      </c>
      <c r="T69" t="s">
        <v>53</v>
      </c>
    </row>
    <row r="70" spans="1:22" x14ac:dyDescent="0.2">
      <c r="A70" t="s">
        <v>161</v>
      </c>
      <c r="B70" t="s">
        <v>74</v>
      </c>
      <c r="C70" t="s">
        <v>144</v>
      </c>
      <c r="G70" t="s">
        <v>57</v>
      </c>
      <c r="K70" t="s">
        <v>82</v>
      </c>
      <c r="P70" t="s">
        <v>167</v>
      </c>
      <c r="T70" t="s">
        <v>53</v>
      </c>
      <c r="V70">
        <v>2</v>
      </c>
    </row>
    <row r="71" spans="1:22" x14ac:dyDescent="0.2">
      <c r="A71" t="s">
        <v>162</v>
      </c>
      <c r="B71" t="s">
        <v>74</v>
      </c>
      <c r="C71" t="s">
        <v>31</v>
      </c>
      <c r="G71" t="s">
        <v>163</v>
      </c>
      <c r="K71" t="s">
        <v>111</v>
      </c>
      <c r="P71" t="s">
        <v>78</v>
      </c>
      <c r="T71" t="s">
        <v>53</v>
      </c>
    </row>
    <row r="72" spans="1:22" x14ac:dyDescent="0.2">
      <c r="A72" t="s">
        <v>164</v>
      </c>
      <c r="B72" t="s">
        <v>74</v>
      </c>
      <c r="C72" t="s">
        <v>31</v>
      </c>
      <c r="G72" t="s">
        <v>165</v>
      </c>
      <c r="P72" t="s">
        <v>78</v>
      </c>
      <c r="S72" t="s">
        <v>52</v>
      </c>
      <c r="T72" t="s">
        <v>53</v>
      </c>
    </row>
    <row r="73" spans="1:22" x14ac:dyDescent="0.2">
      <c r="A73" t="s">
        <v>166</v>
      </c>
      <c r="B73" t="s">
        <v>20</v>
      </c>
      <c r="C73" t="s">
        <v>144</v>
      </c>
      <c r="G73" t="s">
        <v>50</v>
      </c>
      <c r="K73" t="s">
        <v>82</v>
      </c>
      <c r="P73" t="s">
        <v>167</v>
      </c>
      <c r="T73" t="s">
        <v>53</v>
      </c>
      <c r="U73" t="s">
        <v>173</v>
      </c>
      <c r="V73">
        <v>2</v>
      </c>
    </row>
    <row r="74" spans="1:22" x14ac:dyDescent="0.2">
      <c r="A74" t="s">
        <v>168</v>
      </c>
      <c r="B74" t="s">
        <v>20</v>
      </c>
      <c r="C74" t="s">
        <v>144</v>
      </c>
      <c r="G74" t="s">
        <v>57</v>
      </c>
      <c r="P74" t="s">
        <v>169</v>
      </c>
      <c r="T74" t="s">
        <v>53</v>
      </c>
    </row>
    <row r="75" spans="1:22" x14ac:dyDescent="0.2">
      <c r="A75" t="s">
        <v>170</v>
      </c>
      <c r="B75" t="s">
        <v>20</v>
      </c>
      <c r="C75" t="s">
        <v>144</v>
      </c>
      <c r="G75" t="s">
        <v>57</v>
      </c>
      <c r="K75" t="s">
        <v>58</v>
      </c>
      <c r="P75" t="s">
        <v>171</v>
      </c>
      <c r="S75" t="s">
        <v>52</v>
      </c>
      <c r="T75" t="s">
        <v>53</v>
      </c>
      <c r="U75" t="s">
        <v>127</v>
      </c>
      <c r="V75">
        <v>2</v>
      </c>
    </row>
    <row r="76" spans="1:22" x14ac:dyDescent="0.2">
      <c r="A76" t="s">
        <v>172</v>
      </c>
      <c r="B76" t="s">
        <v>122</v>
      </c>
      <c r="C76" t="s">
        <v>31</v>
      </c>
      <c r="G76" t="s">
        <v>99</v>
      </c>
      <c r="K76" t="s">
        <v>133</v>
      </c>
      <c r="P76" t="s">
        <v>78</v>
      </c>
      <c r="S76" t="s">
        <v>178</v>
      </c>
      <c r="T76" t="s">
        <v>53</v>
      </c>
      <c r="U76" t="s">
        <v>173</v>
      </c>
    </row>
    <row r="77" spans="1:22" x14ac:dyDescent="0.2">
      <c r="A77" t="s">
        <v>174</v>
      </c>
      <c r="B77" t="s">
        <v>20</v>
      </c>
      <c r="C77" t="s">
        <v>144</v>
      </c>
      <c r="G77" t="s">
        <v>112</v>
      </c>
      <c r="K77" t="s">
        <v>82</v>
      </c>
      <c r="P77" t="s">
        <v>175</v>
      </c>
      <c r="T77" t="s">
        <v>113</v>
      </c>
      <c r="V77">
        <v>1</v>
      </c>
    </row>
    <row r="78" spans="1:22" x14ac:dyDescent="0.2">
      <c r="A78" t="s">
        <v>176</v>
      </c>
      <c r="B78" t="s">
        <v>20</v>
      </c>
      <c r="C78" t="s">
        <v>140</v>
      </c>
      <c r="G78" t="s">
        <v>57</v>
      </c>
      <c r="K78" t="s">
        <v>58</v>
      </c>
      <c r="P78" t="s">
        <v>175</v>
      </c>
      <c r="T78" t="s">
        <v>53</v>
      </c>
      <c r="U78" t="s">
        <v>127</v>
      </c>
      <c r="V78">
        <v>2</v>
      </c>
    </row>
    <row r="79" spans="1:22" x14ac:dyDescent="0.2">
      <c r="A79" t="s">
        <v>177</v>
      </c>
      <c r="B79" t="s">
        <v>20</v>
      </c>
      <c r="C79" t="s">
        <v>140</v>
      </c>
      <c r="G79" t="s">
        <v>57</v>
      </c>
      <c r="K79" t="s">
        <v>133</v>
      </c>
      <c r="P79" t="s">
        <v>175</v>
      </c>
      <c r="S79" t="s">
        <v>178</v>
      </c>
      <c r="T79" t="s">
        <v>53</v>
      </c>
    </row>
    <row r="80" spans="1:22" x14ac:dyDescent="0.2">
      <c r="A80" t="s">
        <v>179</v>
      </c>
      <c r="B80" t="s">
        <v>20</v>
      </c>
      <c r="C80" t="s">
        <v>140</v>
      </c>
      <c r="G80" t="s">
        <v>57</v>
      </c>
      <c r="K80" t="s">
        <v>82</v>
      </c>
      <c r="P80" t="s">
        <v>175</v>
      </c>
      <c r="S80" t="s">
        <v>184</v>
      </c>
      <c r="T80" t="s">
        <v>53</v>
      </c>
      <c r="V80">
        <v>1</v>
      </c>
    </row>
    <row r="81" spans="1:22" x14ac:dyDescent="0.2">
      <c r="A81" t="s">
        <v>180</v>
      </c>
      <c r="B81" t="s">
        <v>74</v>
      </c>
      <c r="C81" t="s">
        <v>31</v>
      </c>
      <c r="G81" t="s">
        <v>57</v>
      </c>
      <c r="K81" t="s">
        <v>82</v>
      </c>
      <c r="P81" t="s">
        <v>78</v>
      </c>
      <c r="S81" t="s">
        <v>186</v>
      </c>
      <c r="T81" t="s">
        <v>53</v>
      </c>
      <c r="V81">
        <v>3</v>
      </c>
    </row>
    <row r="82" spans="1:22" x14ac:dyDescent="0.2">
      <c r="A82" t="s">
        <v>181</v>
      </c>
      <c r="B82" t="s">
        <v>20</v>
      </c>
      <c r="C82" t="s">
        <v>140</v>
      </c>
      <c r="G82" t="s">
        <v>182</v>
      </c>
      <c r="K82" t="s">
        <v>82</v>
      </c>
      <c r="S82" t="s">
        <v>72</v>
      </c>
      <c r="T82" t="s">
        <v>53</v>
      </c>
      <c r="U82" t="s">
        <v>189</v>
      </c>
      <c r="V82">
        <v>2</v>
      </c>
    </row>
    <row r="83" spans="1:22" x14ac:dyDescent="0.2">
      <c r="A83" t="s">
        <v>183</v>
      </c>
      <c r="B83" t="s">
        <v>74</v>
      </c>
      <c r="C83" t="s">
        <v>31</v>
      </c>
      <c r="G83" t="s">
        <v>57</v>
      </c>
      <c r="K83" t="s">
        <v>58</v>
      </c>
      <c r="S83" t="s">
        <v>184</v>
      </c>
      <c r="T83" t="s">
        <v>53</v>
      </c>
      <c r="V83">
        <v>6</v>
      </c>
    </row>
    <row r="84" spans="1:22" x14ac:dyDescent="0.2">
      <c r="A84" t="s">
        <v>185</v>
      </c>
      <c r="B84" t="s">
        <v>70</v>
      </c>
      <c r="C84" t="s">
        <v>31</v>
      </c>
      <c r="G84" t="s">
        <v>57</v>
      </c>
      <c r="K84" t="s">
        <v>82</v>
      </c>
      <c r="P84" t="s">
        <v>169</v>
      </c>
      <c r="S84" t="s">
        <v>186</v>
      </c>
      <c r="T84" t="s">
        <v>53</v>
      </c>
      <c r="U84" t="s">
        <v>193</v>
      </c>
      <c r="V84">
        <v>3</v>
      </c>
    </row>
    <row r="85" spans="1:22" x14ac:dyDescent="0.2">
      <c r="A85" t="s">
        <v>187</v>
      </c>
      <c r="B85" t="s">
        <v>74</v>
      </c>
      <c r="C85" t="s">
        <v>140</v>
      </c>
      <c r="G85" t="s">
        <v>107</v>
      </c>
      <c r="K85" t="s">
        <v>82</v>
      </c>
      <c r="P85" t="s">
        <v>195</v>
      </c>
      <c r="T85" t="s">
        <v>188</v>
      </c>
      <c r="U85" t="s">
        <v>189</v>
      </c>
      <c r="V85">
        <v>2</v>
      </c>
    </row>
    <row r="86" spans="1:22" x14ac:dyDescent="0.2">
      <c r="A86" t="s">
        <v>190</v>
      </c>
      <c r="B86" t="s">
        <v>70</v>
      </c>
      <c r="C86" t="s">
        <v>31</v>
      </c>
      <c r="G86" t="s">
        <v>57</v>
      </c>
      <c r="K86" t="s">
        <v>58</v>
      </c>
      <c r="P86" t="s">
        <v>197</v>
      </c>
      <c r="T86" t="s">
        <v>53</v>
      </c>
      <c r="V86">
        <v>2</v>
      </c>
    </row>
    <row r="87" spans="1:22" x14ac:dyDescent="0.2">
      <c r="A87" t="s">
        <v>191</v>
      </c>
      <c r="B87" t="s">
        <v>20</v>
      </c>
      <c r="C87" t="s">
        <v>140</v>
      </c>
      <c r="G87" t="s">
        <v>192</v>
      </c>
      <c r="K87" t="s">
        <v>58</v>
      </c>
      <c r="P87" t="s">
        <v>169</v>
      </c>
      <c r="T87" t="s">
        <v>53</v>
      </c>
      <c r="U87" t="s">
        <v>193</v>
      </c>
    </row>
    <row r="88" spans="1:22" x14ac:dyDescent="0.2">
      <c r="A88" t="s">
        <v>194</v>
      </c>
      <c r="B88" t="s">
        <v>20</v>
      </c>
      <c r="C88" t="s">
        <v>140</v>
      </c>
      <c r="G88" t="s">
        <v>57</v>
      </c>
      <c r="K88" t="s">
        <v>58</v>
      </c>
      <c r="P88" t="s">
        <v>195</v>
      </c>
      <c r="T88" t="s">
        <v>53</v>
      </c>
      <c r="V88">
        <v>5</v>
      </c>
    </row>
    <row r="89" spans="1:22" x14ac:dyDescent="0.2">
      <c r="A89" t="s">
        <v>196</v>
      </c>
      <c r="B89" t="s">
        <v>20</v>
      </c>
      <c r="C89" t="s">
        <v>140</v>
      </c>
      <c r="G89" t="s">
        <v>57</v>
      </c>
      <c r="K89" t="s">
        <v>58</v>
      </c>
      <c r="P89" t="s">
        <v>197</v>
      </c>
      <c r="S89" t="s">
        <v>184</v>
      </c>
      <c r="T89" t="s">
        <v>53</v>
      </c>
      <c r="V89">
        <v>10</v>
      </c>
    </row>
    <row r="90" spans="1:22" x14ac:dyDescent="0.2">
      <c r="A90" t="s">
        <v>198</v>
      </c>
      <c r="B90" t="s">
        <v>20</v>
      </c>
      <c r="C90" t="s">
        <v>140</v>
      </c>
      <c r="G90" t="s">
        <v>57</v>
      </c>
      <c r="K90" t="s">
        <v>58</v>
      </c>
      <c r="P90" t="s">
        <v>197</v>
      </c>
      <c r="S90" t="s">
        <v>184</v>
      </c>
      <c r="T90" t="s">
        <v>53</v>
      </c>
      <c r="U90" t="s">
        <v>127</v>
      </c>
      <c r="V90">
        <v>5</v>
      </c>
    </row>
    <row r="91" spans="1:22" x14ac:dyDescent="0.2">
      <c r="A91" t="s">
        <v>199</v>
      </c>
      <c r="B91" t="s">
        <v>74</v>
      </c>
      <c r="G91" t="s">
        <v>57</v>
      </c>
      <c r="K91" t="s">
        <v>58</v>
      </c>
      <c r="S91" t="s">
        <v>184</v>
      </c>
      <c r="T91" t="s">
        <v>53</v>
      </c>
      <c r="V91">
        <v>5</v>
      </c>
    </row>
    <row r="92" spans="1:22" x14ac:dyDescent="0.2">
      <c r="A92" t="s">
        <v>200</v>
      </c>
      <c r="B92" t="s">
        <v>74</v>
      </c>
      <c r="C92" t="s">
        <v>31</v>
      </c>
      <c r="G92" t="s">
        <v>57</v>
      </c>
      <c r="K92" t="s">
        <v>58</v>
      </c>
      <c r="S92" t="s">
        <v>184</v>
      </c>
      <c r="T92" t="s">
        <v>53</v>
      </c>
      <c r="V92">
        <v>10</v>
      </c>
    </row>
    <row r="93" spans="1:22" x14ac:dyDescent="0.2">
      <c r="A93" t="s">
        <v>201</v>
      </c>
      <c r="B93" t="s">
        <v>74</v>
      </c>
      <c r="G93" t="s">
        <v>57</v>
      </c>
      <c r="K93" t="s">
        <v>58</v>
      </c>
      <c r="S93" t="s">
        <v>184</v>
      </c>
      <c r="T93" t="s">
        <v>53</v>
      </c>
      <c r="V93">
        <v>5</v>
      </c>
    </row>
    <row r="94" spans="1:22" x14ac:dyDescent="0.2">
      <c r="A94" t="s">
        <v>202</v>
      </c>
      <c r="B94" t="s">
        <v>122</v>
      </c>
      <c r="C94" t="s">
        <v>140</v>
      </c>
      <c r="G94" t="s">
        <v>57</v>
      </c>
      <c r="K94" t="s">
        <v>58</v>
      </c>
      <c r="P94" t="s">
        <v>171</v>
      </c>
      <c r="S94" t="s">
        <v>184</v>
      </c>
      <c r="T94" t="s">
        <v>53</v>
      </c>
      <c r="U94" t="s">
        <v>124</v>
      </c>
      <c r="V94">
        <v>5</v>
      </c>
    </row>
    <row r="95" spans="1:22" x14ac:dyDescent="0.2">
      <c r="A95" t="s">
        <v>203</v>
      </c>
      <c r="B95" t="s">
        <v>204</v>
      </c>
      <c r="G95" t="s">
        <v>145</v>
      </c>
      <c r="K95" t="s">
        <v>58</v>
      </c>
      <c r="P95" t="s">
        <v>78</v>
      </c>
      <c r="S95" t="s">
        <v>184</v>
      </c>
      <c r="T95" t="s">
        <v>53</v>
      </c>
      <c r="V95">
        <v>5</v>
      </c>
    </row>
    <row r="96" spans="1:22" x14ac:dyDescent="0.2">
      <c r="A96" t="s">
        <v>205</v>
      </c>
      <c r="B96" t="s">
        <v>74</v>
      </c>
      <c r="G96" t="s">
        <v>57</v>
      </c>
      <c r="K96" t="s">
        <v>58</v>
      </c>
      <c r="S96" t="s">
        <v>184</v>
      </c>
      <c r="T96" t="s">
        <v>53</v>
      </c>
      <c r="V96">
        <v>5</v>
      </c>
    </row>
    <row r="97" spans="1:22" x14ac:dyDescent="0.2">
      <c r="A97" t="s">
        <v>206</v>
      </c>
      <c r="B97" t="s">
        <v>20</v>
      </c>
      <c r="C97" t="s">
        <v>140</v>
      </c>
      <c r="G97" t="s">
        <v>57</v>
      </c>
      <c r="P97" t="s">
        <v>171</v>
      </c>
      <c r="T97" t="s">
        <v>53</v>
      </c>
      <c r="U97" t="s">
        <v>124</v>
      </c>
    </row>
    <row r="98" spans="1:22" x14ac:dyDescent="0.2">
      <c r="A98" t="s">
        <v>207</v>
      </c>
      <c r="B98" t="s">
        <v>74</v>
      </c>
      <c r="C98" t="s">
        <v>140</v>
      </c>
      <c r="G98" t="s">
        <v>112</v>
      </c>
      <c r="P98" t="s">
        <v>78</v>
      </c>
      <c r="T98" t="s">
        <v>113</v>
      </c>
    </row>
    <row r="99" spans="1:22" x14ac:dyDescent="0.2">
      <c r="A99" t="s">
        <v>208</v>
      </c>
      <c r="B99" t="s">
        <v>70</v>
      </c>
      <c r="C99" t="s">
        <v>140</v>
      </c>
      <c r="G99" t="s">
        <v>57</v>
      </c>
      <c r="P99" t="s">
        <v>171</v>
      </c>
      <c r="T99" t="s">
        <v>53</v>
      </c>
    </row>
    <row r="100" spans="1:22" x14ac:dyDescent="0.2">
      <c r="A100" t="s">
        <v>209</v>
      </c>
      <c r="B100" t="s">
        <v>74</v>
      </c>
      <c r="C100" t="s">
        <v>30</v>
      </c>
      <c r="G100" t="s">
        <v>57</v>
      </c>
      <c r="P100" t="s">
        <v>78</v>
      </c>
      <c r="T100" t="s">
        <v>53</v>
      </c>
    </row>
    <row r="101" spans="1:22" x14ac:dyDescent="0.2">
      <c r="A101" t="s">
        <v>210</v>
      </c>
      <c r="B101" t="s">
        <v>20</v>
      </c>
      <c r="C101" t="s">
        <v>140</v>
      </c>
      <c r="G101" t="s">
        <v>57</v>
      </c>
      <c r="K101" t="s">
        <v>83</v>
      </c>
      <c r="P101" t="s">
        <v>171</v>
      </c>
      <c r="T101" t="s">
        <v>53</v>
      </c>
      <c r="V101">
        <v>4</v>
      </c>
    </row>
    <row r="102" spans="1:22" x14ac:dyDescent="0.2">
      <c r="A102" t="s">
        <v>211</v>
      </c>
      <c r="B102" t="s">
        <v>20</v>
      </c>
      <c r="C102" t="s">
        <v>140</v>
      </c>
      <c r="G102" t="s">
        <v>57</v>
      </c>
      <c r="P102" t="s">
        <v>171</v>
      </c>
      <c r="T102" t="s">
        <v>53</v>
      </c>
    </row>
    <row r="103" spans="1:22" x14ac:dyDescent="0.2">
      <c r="A103" t="s">
        <v>212</v>
      </c>
      <c r="B103" t="s">
        <v>74</v>
      </c>
      <c r="C103" t="s">
        <v>30</v>
      </c>
      <c r="G103" t="s">
        <v>57</v>
      </c>
      <c r="K103" t="s">
        <v>58</v>
      </c>
      <c r="P103" t="s">
        <v>78</v>
      </c>
      <c r="T103" t="s">
        <v>53</v>
      </c>
      <c r="V103">
        <v>1</v>
      </c>
    </row>
    <row r="104" spans="1:22" x14ac:dyDescent="0.2">
      <c r="A104" t="s">
        <v>213</v>
      </c>
      <c r="B104" t="s">
        <v>20</v>
      </c>
      <c r="C104" t="s">
        <v>140</v>
      </c>
      <c r="G104" t="s">
        <v>57</v>
      </c>
      <c r="P104" t="s">
        <v>78</v>
      </c>
      <c r="T104" t="s">
        <v>53</v>
      </c>
    </row>
    <row r="105" spans="1:22" x14ac:dyDescent="0.2">
      <c r="A105" t="s">
        <v>214</v>
      </c>
      <c r="B105" t="s">
        <v>74</v>
      </c>
      <c r="C105" t="s">
        <v>140</v>
      </c>
      <c r="G105" t="s">
        <v>215</v>
      </c>
      <c r="K105" t="s">
        <v>58</v>
      </c>
      <c r="P105" t="s">
        <v>78</v>
      </c>
      <c r="T105" t="s">
        <v>53</v>
      </c>
      <c r="V105">
        <v>1</v>
      </c>
    </row>
    <row r="106" spans="1:22" x14ac:dyDescent="0.2">
      <c r="A106" t="s">
        <v>216</v>
      </c>
      <c r="B106" t="s">
        <v>70</v>
      </c>
      <c r="C106" t="s">
        <v>31</v>
      </c>
      <c r="G106" t="s">
        <v>107</v>
      </c>
      <c r="P106" t="s">
        <v>78</v>
      </c>
      <c r="T106" t="s">
        <v>53</v>
      </c>
    </row>
    <row r="107" spans="1:22" x14ac:dyDescent="0.2">
      <c r="A107" t="s">
        <v>217</v>
      </c>
      <c r="B107" t="s">
        <v>20</v>
      </c>
      <c r="C107" t="s">
        <v>140</v>
      </c>
      <c r="G107" t="s">
        <v>112</v>
      </c>
      <c r="P107" t="s">
        <v>218</v>
      </c>
      <c r="T107" t="s">
        <v>113</v>
      </c>
    </row>
    <row r="108" spans="1:22" x14ac:dyDescent="0.2">
      <c r="A108" t="s">
        <v>219</v>
      </c>
      <c r="B108" t="s">
        <v>20</v>
      </c>
      <c r="C108" t="s">
        <v>140</v>
      </c>
      <c r="G108" t="s">
        <v>57</v>
      </c>
      <c r="K108" t="s">
        <v>58</v>
      </c>
      <c r="P108" t="s">
        <v>218</v>
      </c>
      <c r="T108" t="s">
        <v>53</v>
      </c>
      <c r="V108">
        <v>1</v>
      </c>
    </row>
    <row r="109" spans="1:22" x14ac:dyDescent="0.2">
      <c r="A109" t="s">
        <v>220</v>
      </c>
      <c r="B109" t="s">
        <v>20</v>
      </c>
      <c r="C109" t="s">
        <v>140</v>
      </c>
      <c r="G109" t="s">
        <v>57</v>
      </c>
      <c r="P109" t="s">
        <v>218</v>
      </c>
      <c r="T109" t="s">
        <v>53</v>
      </c>
    </row>
    <row r="110" spans="1:22" x14ac:dyDescent="0.2">
      <c r="A110" t="s">
        <v>221</v>
      </c>
      <c r="B110" t="s">
        <v>20</v>
      </c>
      <c r="C110" t="s">
        <v>140</v>
      </c>
      <c r="G110" t="s">
        <v>57</v>
      </c>
      <c r="K110" t="s">
        <v>58</v>
      </c>
      <c r="P110" t="s">
        <v>218</v>
      </c>
      <c r="T110" t="s">
        <v>53</v>
      </c>
      <c r="V110">
        <v>1</v>
      </c>
    </row>
    <row r="111" spans="1:22" x14ac:dyDescent="0.2">
      <c r="A111" t="s">
        <v>222</v>
      </c>
      <c r="B111" t="s">
        <v>20</v>
      </c>
      <c r="C111" t="s">
        <v>140</v>
      </c>
      <c r="G111" t="s">
        <v>57</v>
      </c>
      <c r="P111" t="s">
        <v>218</v>
      </c>
      <c r="S111" t="s">
        <v>52</v>
      </c>
      <c r="T111" t="s">
        <v>53</v>
      </c>
    </row>
    <row r="112" spans="1:22" x14ac:dyDescent="0.2">
      <c r="A112" t="s">
        <v>223</v>
      </c>
      <c r="B112" t="s">
        <v>20</v>
      </c>
      <c r="C112" t="s">
        <v>140</v>
      </c>
      <c r="G112" t="s">
        <v>112</v>
      </c>
      <c r="P112" t="s">
        <v>224</v>
      </c>
      <c r="T112" t="s">
        <v>113</v>
      </c>
    </row>
    <row r="113" spans="1:22" x14ac:dyDescent="0.2">
      <c r="A113" t="s">
        <v>225</v>
      </c>
      <c r="B113" t="s">
        <v>20</v>
      </c>
      <c r="C113" t="s">
        <v>140</v>
      </c>
      <c r="G113" t="s">
        <v>99</v>
      </c>
      <c r="K113" t="s">
        <v>58</v>
      </c>
      <c r="P113" t="s">
        <v>224</v>
      </c>
      <c r="S113" t="s">
        <v>52</v>
      </c>
      <c r="T113" t="s">
        <v>53</v>
      </c>
      <c r="V113">
        <v>4</v>
      </c>
    </row>
    <row r="114" spans="1:22" x14ac:dyDescent="0.2">
      <c r="A114" t="s">
        <v>226</v>
      </c>
      <c r="B114" t="s">
        <v>20</v>
      </c>
      <c r="C114" t="s">
        <v>140</v>
      </c>
      <c r="G114" t="s">
        <v>112</v>
      </c>
      <c r="K114" t="s">
        <v>58</v>
      </c>
      <c r="P114" t="s">
        <v>224</v>
      </c>
      <c r="S114" t="s">
        <v>184</v>
      </c>
      <c r="T114" t="s">
        <v>113</v>
      </c>
      <c r="V114">
        <v>4</v>
      </c>
    </row>
    <row r="115" spans="1:22" x14ac:dyDescent="0.2">
      <c r="A115" t="s">
        <v>227</v>
      </c>
      <c r="B115" t="s">
        <v>74</v>
      </c>
      <c r="C115" t="s">
        <v>31</v>
      </c>
      <c r="G115" t="s">
        <v>145</v>
      </c>
      <c r="K115" t="s">
        <v>58</v>
      </c>
      <c r="S115" t="s">
        <v>184</v>
      </c>
      <c r="T115" t="s">
        <v>53</v>
      </c>
      <c r="V115">
        <v>4</v>
      </c>
    </row>
    <row r="116" spans="1:22" x14ac:dyDescent="0.2">
      <c r="A116" t="s">
        <v>228</v>
      </c>
      <c r="B116" t="s">
        <v>74</v>
      </c>
      <c r="G116" t="s">
        <v>57</v>
      </c>
      <c r="K116" t="s">
        <v>58</v>
      </c>
      <c r="S116" t="s">
        <v>184</v>
      </c>
      <c r="T116" t="s">
        <v>53</v>
      </c>
      <c r="V116">
        <v>4</v>
      </c>
    </row>
    <row r="117" spans="1:22" x14ac:dyDescent="0.2">
      <c r="A117" t="s">
        <v>229</v>
      </c>
      <c r="B117" t="s">
        <v>74</v>
      </c>
      <c r="G117" t="s">
        <v>57</v>
      </c>
      <c r="K117" t="s">
        <v>58</v>
      </c>
      <c r="P117" t="s">
        <v>78</v>
      </c>
      <c r="S117" t="s">
        <v>184</v>
      </c>
      <c r="T117" t="s">
        <v>53</v>
      </c>
      <c r="V117">
        <v>4</v>
      </c>
    </row>
    <row r="118" spans="1:22" x14ac:dyDescent="0.2">
      <c r="A118" t="s">
        <v>230</v>
      </c>
      <c r="B118" t="s">
        <v>122</v>
      </c>
      <c r="G118" t="s">
        <v>107</v>
      </c>
      <c r="S118" t="s">
        <v>231</v>
      </c>
      <c r="T118" t="s">
        <v>53</v>
      </c>
    </row>
    <row r="119" spans="1:22" x14ac:dyDescent="0.2">
      <c r="A119" t="s">
        <v>232</v>
      </c>
      <c r="B119" t="s">
        <v>74</v>
      </c>
      <c r="G119" t="s">
        <v>163</v>
      </c>
      <c r="P119" t="s">
        <v>78</v>
      </c>
      <c r="T119" t="s">
        <v>53</v>
      </c>
    </row>
    <row r="120" spans="1:22" x14ac:dyDescent="0.2">
      <c r="A120" t="s">
        <v>233</v>
      </c>
      <c r="B120" t="s">
        <v>74</v>
      </c>
      <c r="G120" t="s">
        <v>234</v>
      </c>
      <c r="S120" t="s">
        <v>52</v>
      </c>
      <c r="T120" t="s">
        <v>53</v>
      </c>
    </row>
    <row r="121" spans="1:22" x14ac:dyDescent="0.2">
      <c r="A121" t="s">
        <v>235</v>
      </c>
      <c r="B121" t="s">
        <v>74</v>
      </c>
      <c r="C121" t="s">
        <v>31</v>
      </c>
      <c r="G121" t="s">
        <v>163</v>
      </c>
      <c r="S121" t="s">
        <v>52</v>
      </c>
      <c r="T121" t="s">
        <v>53</v>
      </c>
    </row>
    <row r="122" spans="1:22" x14ac:dyDescent="0.2">
      <c r="A122" t="s">
        <v>236</v>
      </c>
      <c r="B122" t="s">
        <v>74</v>
      </c>
      <c r="C122" t="s">
        <v>31</v>
      </c>
      <c r="G122" t="s">
        <v>234</v>
      </c>
      <c r="S122" t="s">
        <v>52</v>
      </c>
      <c r="T122" t="s">
        <v>53</v>
      </c>
      <c r="U122" t="s">
        <v>76</v>
      </c>
    </row>
    <row r="123" spans="1:22" x14ac:dyDescent="0.2">
      <c r="A123" t="s">
        <v>237</v>
      </c>
      <c r="B123" t="s">
        <v>48</v>
      </c>
      <c r="C123" t="s">
        <v>31</v>
      </c>
      <c r="G123" t="s">
        <v>145</v>
      </c>
      <c r="K123" t="s">
        <v>111</v>
      </c>
      <c r="S123" t="s">
        <v>52</v>
      </c>
      <c r="T123" t="s">
        <v>53</v>
      </c>
      <c r="U123" t="s">
        <v>241</v>
      </c>
    </row>
    <row r="124" spans="1:22" x14ac:dyDescent="0.2">
      <c r="A124" t="s">
        <v>238</v>
      </c>
      <c r="B124" t="s">
        <v>48</v>
      </c>
      <c r="C124" t="s">
        <v>31</v>
      </c>
      <c r="G124" t="s">
        <v>57</v>
      </c>
      <c r="S124" t="s">
        <v>52</v>
      </c>
      <c r="T124" t="s">
        <v>53</v>
      </c>
      <c r="U124" t="s">
        <v>76</v>
      </c>
    </row>
    <row r="125" spans="1:22" x14ac:dyDescent="0.2">
      <c r="A125" t="s">
        <v>239</v>
      </c>
      <c r="B125" t="s">
        <v>96</v>
      </c>
      <c r="C125" t="s">
        <v>31</v>
      </c>
      <c r="G125" t="s">
        <v>57</v>
      </c>
      <c r="K125" t="s">
        <v>111</v>
      </c>
      <c r="S125" t="s">
        <v>240</v>
      </c>
      <c r="T125" t="s">
        <v>53</v>
      </c>
      <c r="U125" t="s">
        <v>241</v>
      </c>
    </row>
    <row r="126" spans="1:22" x14ac:dyDescent="0.2">
      <c r="A126" t="s">
        <v>242</v>
      </c>
      <c r="B126" t="s">
        <v>91</v>
      </c>
      <c r="C126" t="s">
        <v>31</v>
      </c>
      <c r="G126" t="s">
        <v>75</v>
      </c>
      <c r="S126" t="s">
        <v>52</v>
      </c>
      <c r="T126" t="s">
        <v>53</v>
      </c>
      <c r="U126" t="s">
        <v>243</v>
      </c>
    </row>
    <row r="127" spans="1:22" x14ac:dyDescent="0.2">
      <c r="A127" t="s">
        <v>244</v>
      </c>
      <c r="B127" t="s">
        <v>122</v>
      </c>
      <c r="C127" t="s">
        <v>31</v>
      </c>
      <c r="G127" t="s">
        <v>57</v>
      </c>
      <c r="S127" t="s">
        <v>231</v>
      </c>
      <c r="T127" t="s">
        <v>53</v>
      </c>
    </row>
    <row r="128" spans="1:22" x14ac:dyDescent="0.2">
      <c r="A128" t="s">
        <v>245</v>
      </c>
      <c r="B128" t="s">
        <v>122</v>
      </c>
      <c r="C128" t="s">
        <v>31</v>
      </c>
      <c r="G128" t="s">
        <v>57</v>
      </c>
      <c r="S128" t="s">
        <v>52</v>
      </c>
      <c r="T128" t="s">
        <v>53</v>
      </c>
      <c r="U128" t="s">
        <v>241</v>
      </c>
    </row>
    <row r="129" spans="1:21" x14ac:dyDescent="0.2">
      <c r="A129" t="s">
        <v>246</v>
      </c>
      <c r="B129" t="s">
        <v>91</v>
      </c>
      <c r="C129" t="s">
        <v>31</v>
      </c>
      <c r="G129" t="s">
        <v>57</v>
      </c>
      <c r="S129" t="s">
        <v>52</v>
      </c>
      <c r="T129" t="s">
        <v>53</v>
      </c>
    </row>
    <row r="130" spans="1:21" x14ac:dyDescent="0.2">
      <c r="A130" t="s">
        <v>247</v>
      </c>
      <c r="B130" t="s">
        <v>74</v>
      </c>
      <c r="C130" t="s">
        <v>31</v>
      </c>
      <c r="G130" t="s">
        <v>57</v>
      </c>
      <c r="S130" t="s">
        <v>240</v>
      </c>
      <c r="T130" t="s">
        <v>53</v>
      </c>
    </row>
    <row r="131" spans="1:21" x14ac:dyDescent="0.2">
      <c r="A131" t="s">
        <v>248</v>
      </c>
      <c r="B131" t="s">
        <v>74</v>
      </c>
      <c r="C131" t="s">
        <v>31</v>
      </c>
      <c r="G131" t="s">
        <v>163</v>
      </c>
      <c r="K131" t="s">
        <v>111</v>
      </c>
      <c r="P131" t="s">
        <v>78</v>
      </c>
      <c r="S131" t="s">
        <v>231</v>
      </c>
      <c r="T131" t="s">
        <v>53</v>
      </c>
    </row>
    <row r="132" spans="1:21" x14ac:dyDescent="0.2">
      <c r="A132" t="s">
        <v>249</v>
      </c>
      <c r="B132" t="s">
        <v>204</v>
      </c>
      <c r="C132" t="s">
        <v>31</v>
      </c>
      <c r="G132" t="s">
        <v>57</v>
      </c>
      <c r="T132" t="s">
        <v>53</v>
      </c>
    </row>
    <row r="133" spans="1:21" x14ac:dyDescent="0.2">
      <c r="A133" t="s">
        <v>250</v>
      </c>
      <c r="B133" t="s">
        <v>91</v>
      </c>
      <c r="C133" t="s">
        <v>31</v>
      </c>
      <c r="G133" t="s">
        <v>251</v>
      </c>
      <c r="K133" t="s">
        <v>111</v>
      </c>
      <c r="P133" t="s">
        <v>78</v>
      </c>
      <c r="S133" t="s">
        <v>52</v>
      </c>
      <c r="T133" t="s">
        <v>53</v>
      </c>
    </row>
    <row r="134" spans="1:21" x14ac:dyDescent="0.2">
      <c r="A134" t="s">
        <v>252</v>
      </c>
      <c r="B134" t="s">
        <v>74</v>
      </c>
      <c r="C134" t="s">
        <v>31</v>
      </c>
      <c r="G134" t="s">
        <v>50</v>
      </c>
      <c r="S134" t="s">
        <v>255</v>
      </c>
      <c r="T134" t="s">
        <v>53</v>
      </c>
    </row>
    <row r="135" spans="1:21" x14ac:dyDescent="0.2">
      <c r="A135" t="s">
        <v>253</v>
      </c>
      <c r="B135" t="s">
        <v>122</v>
      </c>
      <c r="G135" t="s">
        <v>57</v>
      </c>
      <c r="T135" t="s">
        <v>53</v>
      </c>
    </row>
    <row r="136" spans="1:21" x14ac:dyDescent="0.2">
      <c r="A136" t="s">
        <v>254</v>
      </c>
      <c r="B136" t="s">
        <v>74</v>
      </c>
      <c r="C136" t="s">
        <v>140</v>
      </c>
      <c r="G136" t="s">
        <v>115</v>
      </c>
      <c r="P136" t="s">
        <v>259</v>
      </c>
      <c r="S136" t="s">
        <v>255</v>
      </c>
      <c r="T136" t="s">
        <v>53</v>
      </c>
    </row>
    <row r="137" spans="1:21" x14ac:dyDescent="0.2">
      <c r="A137" t="s">
        <v>256</v>
      </c>
      <c r="B137" t="s">
        <v>257</v>
      </c>
      <c r="G137" t="s">
        <v>57</v>
      </c>
      <c r="T137" t="s">
        <v>53</v>
      </c>
      <c r="U137" t="s">
        <v>76</v>
      </c>
    </row>
    <row r="138" spans="1:21" x14ac:dyDescent="0.2">
      <c r="A138" t="s">
        <v>258</v>
      </c>
      <c r="B138" t="s">
        <v>20</v>
      </c>
      <c r="C138" t="s">
        <v>140</v>
      </c>
      <c r="G138" t="s">
        <v>57</v>
      </c>
      <c r="K138" t="s">
        <v>111</v>
      </c>
      <c r="P138" t="s">
        <v>259</v>
      </c>
      <c r="T138" t="s">
        <v>53</v>
      </c>
    </row>
    <row r="139" spans="1:21" x14ac:dyDescent="0.2">
      <c r="A139" t="s">
        <v>260</v>
      </c>
      <c r="B139" t="s">
        <v>96</v>
      </c>
      <c r="C139" t="s">
        <v>31</v>
      </c>
      <c r="G139" t="s">
        <v>57</v>
      </c>
      <c r="K139" t="s">
        <v>263</v>
      </c>
      <c r="T139" t="s">
        <v>53</v>
      </c>
      <c r="U139" t="s">
        <v>76</v>
      </c>
    </row>
    <row r="140" spans="1:21" x14ac:dyDescent="0.2">
      <c r="A140" t="s">
        <v>261</v>
      </c>
      <c r="B140" t="s">
        <v>96</v>
      </c>
      <c r="C140" t="s">
        <v>31</v>
      </c>
      <c r="G140" t="s">
        <v>57</v>
      </c>
      <c r="K140" t="s">
        <v>111</v>
      </c>
      <c r="T140" t="s">
        <v>53</v>
      </c>
    </row>
    <row r="141" spans="1:21" x14ac:dyDescent="0.2">
      <c r="A141" t="s">
        <v>262</v>
      </c>
      <c r="B141" t="s">
        <v>96</v>
      </c>
      <c r="C141" t="s">
        <v>31</v>
      </c>
      <c r="G141" t="s">
        <v>163</v>
      </c>
      <c r="K141" t="s">
        <v>263</v>
      </c>
      <c r="T141" t="s">
        <v>53</v>
      </c>
      <c r="U141" t="s">
        <v>76</v>
      </c>
    </row>
    <row r="142" spans="1:21" x14ac:dyDescent="0.2">
      <c r="A142" t="s">
        <v>264</v>
      </c>
      <c r="B142" t="s">
        <v>96</v>
      </c>
      <c r="C142" t="s">
        <v>31</v>
      </c>
      <c r="G142" t="s">
        <v>57</v>
      </c>
      <c r="K142" t="s">
        <v>265</v>
      </c>
      <c r="T142" t="s">
        <v>53</v>
      </c>
    </row>
    <row r="143" spans="1:21" x14ac:dyDescent="0.2">
      <c r="A143" t="s">
        <v>266</v>
      </c>
      <c r="B143" t="s">
        <v>96</v>
      </c>
      <c r="C143" t="s">
        <v>31</v>
      </c>
      <c r="G143" t="s">
        <v>57</v>
      </c>
      <c r="K143" t="s">
        <v>123</v>
      </c>
      <c r="S143" t="s">
        <v>270</v>
      </c>
      <c r="T143" t="s">
        <v>53</v>
      </c>
      <c r="U143" t="s">
        <v>76</v>
      </c>
    </row>
    <row r="144" spans="1:21" x14ac:dyDescent="0.2">
      <c r="A144" t="s">
        <v>267</v>
      </c>
      <c r="B144" t="s">
        <v>96</v>
      </c>
      <c r="C144" t="s">
        <v>31</v>
      </c>
      <c r="G144" t="s">
        <v>57</v>
      </c>
      <c r="T144" t="s">
        <v>53</v>
      </c>
    </row>
    <row r="145" spans="1:20" x14ac:dyDescent="0.2">
      <c r="A145" t="s">
        <v>268</v>
      </c>
      <c r="B145" t="s">
        <v>96</v>
      </c>
      <c r="C145" t="s">
        <v>31</v>
      </c>
      <c r="G145" t="s">
        <v>126</v>
      </c>
      <c r="K145" t="s">
        <v>269</v>
      </c>
      <c r="S145" t="s">
        <v>270</v>
      </c>
      <c r="T145" t="s">
        <v>53</v>
      </c>
    </row>
    <row r="146" spans="1:20" x14ac:dyDescent="0.2">
      <c r="A146" t="s">
        <v>271</v>
      </c>
      <c r="B146" t="s">
        <v>96</v>
      </c>
      <c r="C146" t="s">
        <v>31</v>
      </c>
      <c r="G146" t="s">
        <v>272</v>
      </c>
      <c r="H146" t="s">
        <v>276</v>
      </c>
      <c r="K146" t="s">
        <v>152</v>
      </c>
      <c r="T146" t="s">
        <v>53</v>
      </c>
    </row>
    <row r="147" spans="1:20" x14ac:dyDescent="0.2">
      <c r="A147" t="s">
        <v>273</v>
      </c>
      <c r="B147" t="s">
        <v>96</v>
      </c>
      <c r="C147" t="s">
        <v>31</v>
      </c>
      <c r="G147" t="s">
        <v>115</v>
      </c>
      <c r="K147" t="s">
        <v>274</v>
      </c>
      <c r="P147" t="s">
        <v>259</v>
      </c>
      <c r="T147" t="s">
        <v>53</v>
      </c>
    </row>
    <row r="148" spans="1:20" x14ac:dyDescent="0.2">
      <c r="A148" t="s">
        <v>275</v>
      </c>
      <c r="B148" t="s">
        <v>96</v>
      </c>
      <c r="C148" t="s">
        <v>278</v>
      </c>
      <c r="G148" t="s">
        <v>57</v>
      </c>
      <c r="H148" t="s">
        <v>276</v>
      </c>
      <c r="K148" t="s">
        <v>152</v>
      </c>
      <c r="T148" t="s">
        <v>53</v>
      </c>
    </row>
    <row r="149" spans="1:20" x14ac:dyDescent="0.2">
      <c r="A149" t="s">
        <v>277</v>
      </c>
      <c r="B149" t="s">
        <v>20</v>
      </c>
      <c r="C149" t="s">
        <v>140</v>
      </c>
      <c r="G149" t="s">
        <v>57</v>
      </c>
      <c r="K149" t="s">
        <v>133</v>
      </c>
      <c r="P149" t="s">
        <v>259</v>
      </c>
      <c r="S149" t="s">
        <v>282</v>
      </c>
      <c r="T149" t="s">
        <v>53</v>
      </c>
    </row>
    <row r="150" spans="1:20" x14ac:dyDescent="0.2">
      <c r="A150" t="s">
        <v>513</v>
      </c>
      <c r="B150" t="s">
        <v>91</v>
      </c>
      <c r="C150" t="s">
        <v>28</v>
      </c>
      <c r="G150" t="s">
        <v>50</v>
      </c>
      <c r="H150" t="s">
        <v>279</v>
      </c>
      <c r="K150" t="s">
        <v>152</v>
      </c>
      <c r="T150" t="s">
        <v>53</v>
      </c>
    </row>
    <row r="151" spans="1:20" x14ac:dyDescent="0.2">
      <c r="A151" t="s">
        <v>280</v>
      </c>
      <c r="B151" t="s">
        <v>96</v>
      </c>
      <c r="C151" t="s">
        <v>31</v>
      </c>
      <c r="G151" t="s">
        <v>57</v>
      </c>
      <c r="K151" t="s">
        <v>281</v>
      </c>
      <c r="S151" t="s">
        <v>282</v>
      </c>
      <c r="T151" t="s">
        <v>53</v>
      </c>
    </row>
    <row r="152" spans="1:20" x14ac:dyDescent="0.2">
      <c r="A152" t="s">
        <v>283</v>
      </c>
      <c r="B152" t="s">
        <v>96</v>
      </c>
      <c r="C152" t="s">
        <v>31</v>
      </c>
      <c r="G152" t="s">
        <v>284</v>
      </c>
      <c r="K152" t="s">
        <v>152</v>
      </c>
      <c r="T152" t="s">
        <v>285</v>
      </c>
    </row>
    <row r="153" spans="1:20" x14ac:dyDescent="0.2">
      <c r="A153" t="s">
        <v>286</v>
      </c>
      <c r="B153" t="s">
        <v>96</v>
      </c>
      <c r="C153" t="s">
        <v>30</v>
      </c>
      <c r="G153" t="s">
        <v>57</v>
      </c>
      <c r="K153" t="s">
        <v>281</v>
      </c>
      <c r="S153" t="s">
        <v>282</v>
      </c>
      <c r="T153" t="s">
        <v>53</v>
      </c>
    </row>
    <row r="154" spans="1:20" x14ac:dyDescent="0.2">
      <c r="A154" t="s">
        <v>287</v>
      </c>
      <c r="B154" t="s">
        <v>96</v>
      </c>
      <c r="C154" t="s">
        <v>31</v>
      </c>
      <c r="G154" t="s">
        <v>57</v>
      </c>
      <c r="K154" t="s">
        <v>152</v>
      </c>
      <c r="T154" t="s">
        <v>53</v>
      </c>
    </row>
    <row r="155" spans="1:20" x14ac:dyDescent="0.2">
      <c r="A155" t="s">
        <v>288</v>
      </c>
      <c r="B155" t="s">
        <v>96</v>
      </c>
      <c r="C155" t="s">
        <v>30</v>
      </c>
      <c r="G155" t="s">
        <v>57</v>
      </c>
      <c r="K155" t="s">
        <v>123</v>
      </c>
      <c r="S155" t="s">
        <v>72</v>
      </c>
      <c r="T155" t="s">
        <v>53</v>
      </c>
    </row>
    <row r="156" spans="1:20" x14ac:dyDescent="0.2">
      <c r="A156" t="s">
        <v>289</v>
      </c>
      <c r="B156" t="s">
        <v>70</v>
      </c>
      <c r="C156" t="s">
        <v>31</v>
      </c>
      <c r="G156" t="s">
        <v>163</v>
      </c>
      <c r="K156" t="s">
        <v>290</v>
      </c>
      <c r="T156" t="s">
        <v>53</v>
      </c>
    </row>
    <row r="157" spans="1:20" x14ac:dyDescent="0.2">
      <c r="A157" t="s">
        <v>291</v>
      </c>
      <c r="B157" t="s">
        <v>96</v>
      </c>
      <c r="C157" t="s">
        <v>31</v>
      </c>
      <c r="G157" t="s">
        <v>107</v>
      </c>
      <c r="K157" t="s">
        <v>290</v>
      </c>
      <c r="T157" t="s">
        <v>53</v>
      </c>
    </row>
    <row r="158" spans="1:20" x14ac:dyDescent="0.2">
      <c r="A158" t="s">
        <v>292</v>
      </c>
      <c r="B158" t="s">
        <v>96</v>
      </c>
      <c r="C158" t="s">
        <v>140</v>
      </c>
      <c r="G158" t="s">
        <v>57</v>
      </c>
      <c r="H158" t="s">
        <v>295</v>
      </c>
      <c r="K158" t="s">
        <v>290</v>
      </c>
      <c r="P158" t="s">
        <v>296</v>
      </c>
      <c r="T158" t="s">
        <v>53</v>
      </c>
    </row>
    <row r="159" spans="1:20" x14ac:dyDescent="0.2">
      <c r="A159" t="s">
        <v>293</v>
      </c>
      <c r="B159" t="s">
        <v>70</v>
      </c>
      <c r="C159" t="s">
        <v>31</v>
      </c>
      <c r="G159" t="s">
        <v>163</v>
      </c>
      <c r="K159" t="s">
        <v>133</v>
      </c>
      <c r="T159" t="s">
        <v>53</v>
      </c>
    </row>
    <row r="160" spans="1:20" x14ac:dyDescent="0.2">
      <c r="A160" t="s">
        <v>294</v>
      </c>
      <c r="B160" t="s">
        <v>20</v>
      </c>
      <c r="C160" t="s">
        <v>140</v>
      </c>
      <c r="G160" t="s">
        <v>57</v>
      </c>
      <c r="H160" t="s">
        <v>295</v>
      </c>
      <c r="K160" t="s">
        <v>133</v>
      </c>
      <c r="P160" t="s">
        <v>296</v>
      </c>
      <c r="T160" t="s">
        <v>53</v>
      </c>
    </row>
    <row r="161" spans="1:22" x14ac:dyDescent="0.2">
      <c r="A161" t="s">
        <v>297</v>
      </c>
      <c r="B161" t="s">
        <v>257</v>
      </c>
      <c r="G161" t="s">
        <v>57</v>
      </c>
      <c r="T161" t="s">
        <v>53</v>
      </c>
    </row>
    <row r="162" spans="1:22" x14ac:dyDescent="0.2">
      <c r="A162" t="s">
        <v>298</v>
      </c>
      <c r="B162" t="s">
        <v>257</v>
      </c>
      <c r="G162" t="s">
        <v>57</v>
      </c>
      <c r="T162" t="s">
        <v>53</v>
      </c>
    </row>
    <row r="163" spans="1:22" x14ac:dyDescent="0.2">
      <c r="A163" t="s">
        <v>299</v>
      </c>
      <c r="B163" t="s">
        <v>257</v>
      </c>
      <c r="G163" t="s">
        <v>57</v>
      </c>
      <c r="T163" t="s">
        <v>53</v>
      </c>
    </row>
    <row r="164" spans="1:22" x14ac:dyDescent="0.2">
      <c r="A164" t="s">
        <v>300</v>
      </c>
      <c r="B164" t="s">
        <v>257</v>
      </c>
      <c r="C164" t="s">
        <v>144</v>
      </c>
      <c r="G164" t="s">
        <v>57</v>
      </c>
      <c r="K164" t="s">
        <v>303</v>
      </c>
      <c r="S164" t="s">
        <v>109</v>
      </c>
      <c r="T164" t="s">
        <v>53</v>
      </c>
    </row>
    <row r="165" spans="1:22" x14ac:dyDescent="0.2">
      <c r="A165" t="s">
        <v>301</v>
      </c>
      <c r="B165" t="s">
        <v>257</v>
      </c>
      <c r="G165" t="s">
        <v>57</v>
      </c>
      <c r="T165" t="s">
        <v>53</v>
      </c>
    </row>
    <row r="166" spans="1:22" x14ac:dyDescent="0.2">
      <c r="A166" t="s">
        <v>302</v>
      </c>
      <c r="B166" t="s">
        <v>20</v>
      </c>
      <c r="C166" t="s">
        <v>144</v>
      </c>
      <c r="G166" t="s">
        <v>107</v>
      </c>
      <c r="K166" t="s">
        <v>303</v>
      </c>
      <c r="S166" t="s">
        <v>109</v>
      </c>
      <c r="T166" t="s">
        <v>53</v>
      </c>
    </row>
    <row r="167" spans="1:22" x14ac:dyDescent="0.2">
      <c r="A167" t="s">
        <v>304</v>
      </c>
      <c r="B167" t="s">
        <v>257</v>
      </c>
      <c r="G167" t="s">
        <v>305</v>
      </c>
      <c r="K167" t="s">
        <v>263</v>
      </c>
      <c r="T167" t="s">
        <v>53</v>
      </c>
    </row>
    <row r="168" spans="1:22" x14ac:dyDescent="0.2">
      <c r="A168" t="s">
        <v>306</v>
      </c>
      <c r="B168" t="s">
        <v>257</v>
      </c>
      <c r="G168" t="s">
        <v>57</v>
      </c>
      <c r="K168" t="s">
        <v>152</v>
      </c>
      <c r="T168" t="s">
        <v>53</v>
      </c>
    </row>
    <row r="169" spans="1:22" x14ac:dyDescent="0.2">
      <c r="A169" t="s">
        <v>307</v>
      </c>
      <c r="B169" t="s">
        <v>257</v>
      </c>
      <c r="G169" t="s">
        <v>57</v>
      </c>
      <c r="K169" t="s">
        <v>263</v>
      </c>
      <c r="T169" t="s">
        <v>53</v>
      </c>
      <c r="V169">
        <v>6</v>
      </c>
    </row>
    <row r="170" spans="1:22" x14ac:dyDescent="0.2">
      <c r="A170" t="s">
        <v>308</v>
      </c>
      <c r="B170" t="s">
        <v>257</v>
      </c>
      <c r="G170" t="s">
        <v>112</v>
      </c>
      <c r="K170" t="s">
        <v>116</v>
      </c>
      <c r="T170" t="s">
        <v>113</v>
      </c>
    </row>
    <row r="171" spans="1:22" x14ac:dyDescent="0.2">
      <c r="A171" t="s">
        <v>309</v>
      </c>
      <c r="B171" t="s">
        <v>257</v>
      </c>
      <c r="C171" t="s">
        <v>31</v>
      </c>
      <c r="G171" t="s">
        <v>57</v>
      </c>
      <c r="K171" t="s">
        <v>82</v>
      </c>
      <c r="T171" t="s">
        <v>53</v>
      </c>
      <c r="V171">
        <v>6</v>
      </c>
    </row>
    <row r="172" spans="1:22" x14ac:dyDescent="0.2">
      <c r="A172" t="s">
        <v>310</v>
      </c>
      <c r="B172" t="s">
        <v>257</v>
      </c>
      <c r="G172" t="s">
        <v>50</v>
      </c>
      <c r="H172" t="s">
        <v>314</v>
      </c>
      <c r="K172" t="s">
        <v>116</v>
      </c>
      <c r="S172" t="s">
        <v>315</v>
      </c>
      <c r="T172" t="s">
        <v>53</v>
      </c>
    </row>
    <row r="173" spans="1:22" x14ac:dyDescent="0.2">
      <c r="A173" t="s">
        <v>311</v>
      </c>
      <c r="B173" t="s">
        <v>257</v>
      </c>
      <c r="C173" t="s">
        <v>31</v>
      </c>
      <c r="G173" t="s">
        <v>50</v>
      </c>
      <c r="K173" t="s">
        <v>312</v>
      </c>
      <c r="T173" t="s">
        <v>53</v>
      </c>
    </row>
    <row r="174" spans="1:22" x14ac:dyDescent="0.2">
      <c r="A174" t="s">
        <v>313</v>
      </c>
      <c r="B174" t="s">
        <v>257</v>
      </c>
      <c r="C174" t="s">
        <v>31</v>
      </c>
      <c r="G174" t="s">
        <v>57</v>
      </c>
      <c r="H174" t="s">
        <v>314</v>
      </c>
      <c r="K174" t="s">
        <v>133</v>
      </c>
      <c r="S174" t="s">
        <v>315</v>
      </c>
      <c r="T174" t="s">
        <v>53</v>
      </c>
      <c r="U174" t="s">
        <v>318</v>
      </c>
    </row>
    <row r="175" spans="1:22" x14ac:dyDescent="0.2">
      <c r="A175" t="s">
        <v>316</v>
      </c>
      <c r="B175" t="s">
        <v>257</v>
      </c>
      <c r="C175" t="s">
        <v>140</v>
      </c>
      <c r="G175" t="s">
        <v>57</v>
      </c>
      <c r="K175" t="s">
        <v>152</v>
      </c>
      <c r="P175" t="s">
        <v>321</v>
      </c>
      <c r="S175" t="s">
        <v>322</v>
      </c>
      <c r="T175" t="s">
        <v>53</v>
      </c>
    </row>
    <row r="176" spans="1:22" x14ac:dyDescent="0.2">
      <c r="A176" t="s">
        <v>317</v>
      </c>
      <c r="B176" t="s">
        <v>91</v>
      </c>
      <c r="C176" t="s">
        <v>31</v>
      </c>
      <c r="G176" t="s">
        <v>57</v>
      </c>
      <c r="K176" t="s">
        <v>116</v>
      </c>
      <c r="T176" t="s">
        <v>53</v>
      </c>
      <c r="U176" t="s">
        <v>318</v>
      </c>
    </row>
    <row r="177" spans="1:22" x14ac:dyDescent="0.2">
      <c r="A177" t="s">
        <v>319</v>
      </c>
      <c r="B177" t="s">
        <v>20</v>
      </c>
      <c r="C177" t="s">
        <v>140</v>
      </c>
      <c r="G177" t="s">
        <v>320</v>
      </c>
      <c r="K177" t="s">
        <v>58</v>
      </c>
      <c r="P177" t="s">
        <v>321</v>
      </c>
      <c r="S177" t="s">
        <v>322</v>
      </c>
      <c r="T177" t="s">
        <v>53</v>
      </c>
      <c r="V177">
        <v>10</v>
      </c>
    </row>
    <row r="178" spans="1:22" x14ac:dyDescent="0.2">
      <c r="A178" t="s">
        <v>323</v>
      </c>
      <c r="B178" t="s">
        <v>70</v>
      </c>
      <c r="C178" t="s">
        <v>31</v>
      </c>
      <c r="G178" t="s">
        <v>57</v>
      </c>
      <c r="H178" t="s">
        <v>88</v>
      </c>
      <c r="K178" t="s">
        <v>116</v>
      </c>
      <c r="S178" t="s">
        <v>282</v>
      </c>
      <c r="T178" t="s">
        <v>53</v>
      </c>
    </row>
    <row r="179" spans="1:22" x14ac:dyDescent="0.2">
      <c r="A179" t="s">
        <v>324</v>
      </c>
      <c r="B179" t="s">
        <v>96</v>
      </c>
      <c r="G179" t="s">
        <v>57</v>
      </c>
      <c r="H179" t="s">
        <v>88</v>
      </c>
      <c r="K179" t="s">
        <v>82</v>
      </c>
      <c r="S179" t="s">
        <v>282</v>
      </c>
      <c r="T179" t="s">
        <v>53</v>
      </c>
      <c r="V179">
        <v>10</v>
      </c>
    </row>
    <row r="180" spans="1:22" x14ac:dyDescent="0.2">
      <c r="A180" t="s">
        <v>325</v>
      </c>
      <c r="B180" t="s">
        <v>96</v>
      </c>
      <c r="C180" t="s">
        <v>31</v>
      </c>
      <c r="G180" t="s">
        <v>326</v>
      </c>
      <c r="H180" t="s">
        <v>88</v>
      </c>
      <c r="K180" t="s">
        <v>281</v>
      </c>
      <c r="S180" t="s">
        <v>282</v>
      </c>
      <c r="T180" t="s">
        <v>53</v>
      </c>
      <c r="U180" t="s">
        <v>76</v>
      </c>
    </row>
    <row r="181" spans="1:22" x14ac:dyDescent="0.2">
      <c r="A181" t="s">
        <v>327</v>
      </c>
      <c r="B181" t="s">
        <v>96</v>
      </c>
      <c r="C181" t="s">
        <v>31</v>
      </c>
      <c r="G181" t="s">
        <v>328</v>
      </c>
      <c r="H181" t="s">
        <v>88</v>
      </c>
      <c r="K181" t="s">
        <v>281</v>
      </c>
      <c r="S181" t="s">
        <v>282</v>
      </c>
      <c r="T181" t="s">
        <v>53</v>
      </c>
    </row>
    <row r="182" spans="1:22" x14ac:dyDescent="0.2">
      <c r="A182" t="s">
        <v>329</v>
      </c>
      <c r="B182" t="s">
        <v>96</v>
      </c>
      <c r="C182" t="s">
        <v>31</v>
      </c>
      <c r="G182" t="s">
        <v>57</v>
      </c>
      <c r="K182" t="s">
        <v>333</v>
      </c>
      <c r="T182" t="s">
        <v>53</v>
      </c>
      <c r="U182" t="s">
        <v>76</v>
      </c>
    </row>
    <row r="183" spans="1:22" x14ac:dyDescent="0.2">
      <c r="A183" t="s">
        <v>330</v>
      </c>
      <c r="B183" t="s">
        <v>257</v>
      </c>
      <c r="C183" t="s">
        <v>31</v>
      </c>
      <c r="G183" t="s">
        <v>50</v>
      </c>
      <c r="K183" t="s">
        <v>123</v>
      </c>
      <c r="S183" t="s">
        <v>331</v>
      </c>
      <c r="T183" t="s">
        <v>53</v>
      </c>
    </row>
    <row r="184" spans="1:22" x14ac:dyDescent="0.2">
      <c r="A184" t="s">
        <v>332</v>
      </c>
      <c r="B184" t="s">
        <v>96</v>
      </c>
      <c r="G184" t="s">
        <v>320</v>
      </c>
      <c r="K184" t="s">
        <v>333</v>
      </c>
      <c r="S184" t="s">
        <v>270</v>
      </c>
      <c r="T184" t="s">
        <v>53</v>
      </c>
    </row>
    <row r="185" spans="1:22" x14ac:dyDescent="0.2">
      <c r="A185" t="s">
        <v>334</v>
      </c>
      <c r="B185" t="s">
        <v>96</v>
      </c>
      <c r="G185" t="s">
        <v>75</v>
      </c>
      <c r="K185" t="s">
        <v>333</v>
      </c>
      <c r="T185" t="s">
        <v>53</v>
      </c>
    </row>
    <row r="186" spans="1:22" x14ac:dyDescent="0.2">
      <c r="A186" t="s">
        <v>335</v>
      </c>
      <c r="B186" t="s">
        <v>96</v>
      </c>
      <c r="G186" t="s">
        <v>57</v>
      </c>
      <c r="K186" t="s">
        <v>269</v>
      </c>
      <c r="S186" t="s">
        <v>270</v>
      </c>
      <c r="T186" t="s">
        <v>53</v>
      </c>
      <c r="U186" t="s">
        <v>76</v>
      </c>
    </row>
    <row r="187" spans="1:22" x14ac:dyDescent="0.2">
      <c r="A187" t="s">
        <v>336</v>
      </c>
      <c r="B187" t="s">
        <v>257</v>
      </c>
      <c r="G187" t="s">
        <v>337</v>
      </c>
      <c r="K187" t="s">
        <v>333</v>
      </c>
      <c r="T187" t="s">
        <v>53</v>
      </c>
    </row>
    <row r="188" spans="1:22" x14ac:dyDescent="0.2">
      <c r="A188" t="s">
        <v>338</v>
      </c>
      <c r="B188" t="s">
        <v>96</v>
      </c>
      <c r="G188" t="s">
        <v>339</v>
      </c>
      <c r="K188" t="s">
        <v>274</v>
      </c>
      <c r="T188" t="s">
        <v>113</v>
      </c>
      <c r="U188" t="s">
        <v>76</v>
      </c>
    </row>
    <row r="189" spans="1:22" x14ac:dyDescent="0.2">
      <c r="A189" t="s">
        <v>340</v>
      </c>
      <c r="B189" t="s">
        <v>257</v>
      </c>
      <c r="G189" t="s">
        <v>57</v>
      </c>
      <c r="K189" t="s">
        <v>343</v>
      </c>
      <c r="T189" t="s">
        <v>53</v>
      </c>
    </row>
    <row r="190" spans="1:22" x14ac:dyDescent="0.2">
      <c r="A190" t="s">
        <v>341</v>
      </c>
      <c r="B190" t="s">
        <v>96</v>
      </c>
      <c r="G190" t="s">
        <v>107</v>
      </c>
      <c r="K190" t="s">
        <v>274</v>
      </c>
      <c r="S190" t="s">
        <v>345</v>
      </c>
      <c r="T190" t="s">
        <v>53</v>
      </c>
    </row>
    <row r="191" spans="1:22" x14ac:dyDescent="0.2">
      <c r="A191" t="s">
        <v>342</v>
      </c>
      <c r="B191" t="s">
        <v>257</v>
      </c>
      <c r="G191" t="s">
        <v>57</v>
      </c>
      <c r="K191" t="s">
        <v>343</v>
      </c>
      <c r="S191" t="s">
        <v>270</v>
      </c>
      <c r="T191" t="s">
        <v>53</v>
      </c>
    </row>
    <row r="192" spans="1:22" x14ac:dyDescent="0.2">
      <c r="A192" t="s">
        <v>344</v>
      </c>
      <c r="B192" t="s">
        <v>96</v>
      </c>
      <c r="G192" t="s">
        <v>57</v>
      </c>
      <c r="K192" t="s">
        <v>152</v>
      </c>
      <c r="S192" t="s">
        <v>345</v>
      </c>
      <c r="T192" t="s">
        <v>53</v>
      </c>
    </row>
    <row r="193" spans="1:21" x14ac:dyDescent="0.2">
      <c r="A193" t="s">
        <v>346</v>
      </c>
      <c r="B193" t="s">
        <v>257</v>
      </c>
      <c r="C193" t="s">
        <v>31</v>
      </c>
      <c r="G193" t="s">
        <v>337</v>
      </c>
      <c r="K193" t="s">
        <v>269</v>
      </c>
      <c r="S193" t="s">
        <v>270</v>
      </c>
      <c r="T193" t="s">
        <v>53</v>
      </c>
      <c r="U193" t="s">
        <v>349</v>
      </c>
    </row>
    <row r="194" spans="1:21" x14ac:dyDescent="0.2">
      <c r="A194" t="s">
        <v>347</v>
      </c>
      <c r="B194" t="s">
        <v>96</v>
      </c>
      <c r="G194" t="s">
        <v>50</v>
      </c>
      <c r="K194" t="s">
        <v>333</v>
      </c>
      <c r="T194" t="s">
        <v>53</v>
      </c>
      <c r="U194" t="s">
        <v>76</v>
      </c>
    </row>
    <row r="195" spans="1:21" x14ac:dyDescent="0.2">
      <c r="A195" t="s">
        <v>348</v>
      </c>
      <c r="B195" t="s">
        <v>96</v>
      </c>
      <c r="C195" t="s">
        <v>31</v>
      </c>
      <c r="G195" t="s">
        <v>57</v>
      </c>
      <c r="T195" t="s">
        <v>53</v>
      </c>
      <c r="U195" t="s">
        <v>349</v>
      </c>
    </row>
    <row r="196" spans="1:21" x14ac:dyDescent="0.2">
      <c r="A196" t="s">
        <v>350</v>
      </c>
      <c r="B196" t="s">
        <v>257</v>
      </c>
      <c r="G196" t="s">
        <v>112</v>
      </c>
      <c r="T196" t="s">
        <v>113</v>
      </c>
      <c r="U196" t="s">
        <v>76</v>
      </c>
    </row>
    <row r="197" spans="1:21" x14ac:dyDescent="0.2">
      <c r="A197" t="s">
        <v>351</v>
      </c>
      <c r="B197" t="s">
        <v>96</v>
      </c>
      <c r="G197" t="s">
        <v>57</v>
      </c>
      <c r="T197" t="s">
        <v>53</v>
      </c>
      <c r="U197" t="s">
        <v>349</v>
      </c>
    </row>
    <row r="198" spans="1:21" x14ac:dyDescent="0.2">
      <c r="A198" t="s">
        <v>352</v>
      </c>
      <c r="B198" t="s">
        <v>20</v>
      </c>
      <c r="C198" t="s">
        <v>144</v>
      </c>
      <c r="D198" t="s">
        <v>66</v>
      </c>
      <c r="G198" t="s">
        <v>50</v>
      </c>
      <c r="K198" t="s">
        <v>263</v>
      </c>
      <c r="S198" t="s">
        <v>358</v>
      </c>
      <c r="T198" t="s">
        <v>53</v>
      </c>
      <c r="U198" t="s">
        <v>76</v>
      </c>
    </row>
    <row r="199" spans="1:21" x14ac:dyDescent="0.2">
      <c r="A199" t="s">
        <v>353</v>
      </c>
      <c r="B199" t="s">
        <v>96</v>
      </c>
      <c r="G199" t="s">
        <v>354</v>
      </c>
      <c r="T199" t="s">
        <v>355</v>
      </c>
      <c r="U199" t="s">
        <v>349</v>
      </c>
    </row>
    <row r="200" spans="1:21" x14ac:dyDescent="0.2">
      <c r="A200" t="s">
        <v>356</v>
      </c>
      <c r="B200" t="s">
        <v>96</v>
      </c>
      <c r="G200" t="s">
        <v>357</v>
      </c>
      <c r="K200" t="s">
        <v>263</v>
      </c>
      <c r="S200" t="s">
        <v>358</v>
      </c>
      <c r="T200" t="s">
        <v>53</v>
      </c>
    </row>
    <row r="201" spans="1:21" x14ac:dyDescent="0.2">
      <c r="A201" t="s">
        <v>359</v>
      </c>
      <c r="B201" t="s">
        <v>96</v>
      </c>
      <c r="C201" t="s">
        <v>31</v>
      </c>
      <c r="G201" t="s">
        <v>360</v>
      </c>
      <c r="T201" t="s">
        <v>53</v>
      </c>
    </row>
    <row r="202" spans="1:21" x14ac:dyDescent="0.2">
      <c r="A202" t="s">
        <v>361</v>
      </c>
      <c r="B202" t="s">
        <v>257</v>
      </c>
      <c r="G202" t="s">
        <v>57</v>
      </c>
      <c r="K202" t="s">
        <v>123</v>
      </c>
      <c r="S202" t="s">
        <v>270</v>
      </c>
      <c r="T202" t="s">
        <v>53</v>
      </c>
    </row>
    <row r="203" spans="1:21" x14ac:dyDescent="0.2">
      <c r="A203" t="s">
        <v>362</v>
      </c>
      <c r="B203" t="s">
        <v>91</v>
      </c>
      <c r="C203" t="s">
        <v>31</v>
      </c>
      <c r="G203" t="s">
        <v>363</v>
      </c>
      <c r="K203" t="s">
        <v>265</v>
      </c>
      <c r="T203" t="s">
        <v>53</v>
      </c>
    </row>
    <row r="204" spans="1:21" x14ac:dyDescent="0.2">
      <c r="A204" t="s">
        <v>364</v>
      </c>
      <c r="B204" t="s">
        <v>96</v>
      </c>
      <c r="C204" t="s">
        <v>140</v>
      </c>
      <c r="G204" t="s">
        <v>57</v>
      </c>
      <c r="K204" t="s">
        <v>269</v>
      </c>
      <c r="S204" t="s">
        <v>270</v>
      </c>
      <c r="T204" t="s">
        <v>53</v>
      </c>
    </row>
    <row r="205" spans="1:21" x14ac:dyDescent="0.2">
      <c r="A205" t="s">
        <v>365</v>
      </c>
      <c r="B205" t="s">
        <v>96</v>
      </c>
      <c r="C205" t="s">
        <v>31</v>
      </c>
      <c r="G205" t="s">
        <v>57</v>
      </c>
      <c r="K205" t="s">
        <v>265</v>
      </c>
      <c r="S205" t="s">
        <v>270</v>
      </c>
      <c r="T205" t="s">
        <v>53</v>
      </c>
    </row>
    <row r="206" spans="1:21" x14ac:dyDescent="0.2">
      <c r="A206" t="s">
        <v>366</v>
      </c>
      <c r="B206" t="s">
        <v>20</v>
      </c>
      <c r="C206" t="s">
        <v>140</v>
      </c>
      <c r="G206" t="s">
        <v>86</v>
      </c>
      <c r="K206" t="s">
        <v>274</v>
      </c>
      <c r="S206" t="s">
        <v>367</v>
      </c>
      <c r="T206" t="s">
        <v>53</v>
      </c>
    </row>
    <row r="207" spans="1:21" x14ac:dyDescent="0.2">
      <c r="A207" t="s">
        <v>368</v>
      </c>
      <c r="B207" t="s">
        <v>20</v>
      </c>
      <c r="C207" t="s">
        <v>140</v>
      </c>
      <c r="G207" t="s">
        <v>57</v>
      </c>
      <c r="K207" t="s">
        <v>269</v>
      </c>
      <c r="S207" t="s">
        <v>270</v>
      </c>
      <c r="T207" t="s">
        <v>53</v>
      </c>
    </row>
    <row r="208" spans="1:21" x14ac:dyDescent="0.2">
      <c r="A208" t="s">
        <v>369</v>
      </c>
      <c r="B208" t="s">
        <v>96</v>
      </c>
      <c r="G208" t="s">
        <v>57</v>
      </c>
      <c r="S208" t="s">
        <v>231</v>
      </c>
      <c r="T208" t="s">
        <v>53</v>
      </c>
    </row>
    <row r="209" spans="1:21" x14ac:dyDescent="0.2">
      <c r="A209" t="s">
        <v>370</v>
      </c>
      <c r="B209" t="s">
        <v>91</v>
      </c>
      <c r="C209" t="s">
        <v>31</v>
      </c>
      <c r="G209" t="s">
        <v>57</v>
      </c>
      <c r="K209" t="s">
        <v>371</v>
      </c>
      <c r="S209" t="s">
        <v>367</v>
      </c>
      <c r="T209" t="s">
        <v>53</v>
      </c>
    </row>
    <row r="210" spans="1:21" x14ac:dyDescent="0.2">
      <c r="A210" t="s">
        <v>372</v>
      </c>
      <c r="B210" t="s">
        <v>74</v>
      </c>
      <c r="G210" t="s">
        <v>57</v>
      </c>
      <c r="S210" t="s">
        <v>231</v>
      </c>
      <c r="T210" t="s">
        <v>53</v>
      </c>
    </row>
    <row r="211" spans="1:21" x14ac:dyDescent="0.2">
      <c r="A211" t="s">
        <v>373</v>
      </c>
      <c r="B211" t="s">
        <v>74</v>
      </c>
      <c r="C211" t="s">
        <v>31</v>
      </c>
      <c r="G211" t="s">
        <v>57</v>
      </c>
      <c r="P211" t="s">
        <v>78</v>
      </c>
      <c r="S211" t="s">
        <v>358</v>
      </c>
      <c r="T211" t="s">
        <v>53</v>
      </c>
      <c r="U211" t="s">
        <v>76</v>
      </c>
    </row>
    <row r="212" spans="1:21" x14ac:dyDescent="0.2">
      <c r="A212" t="s">
        <v>374</v>
      </c>
      <c r="B212" t="s">
        <v>70</v>
      </c>
      <c r="G212" t="s">
        <v>57</v>
      </c>
      <c r="T212" t="s">
        <v>53</v>
      </c>
    </row>
    <row r="213" spans="1:21" x14ac:dyDescent="0.2">
      <c r="A213" t="s">
        <v>375</v>
      </c>
      <c r="B213" t="s">
        <v>91</v>
      </c>
      <c r="G213" t="s">
        <v>376</v>
      </c>
      <c r="P213" t="s">
        <v>78</v>
      </c>
      <c r="T213" t="s">
        <v>53</v>
      </c>
      <c r="U213" t="s">
        <v>76</v>
      </c>
    </row>
    <row r="214" spans="1:21" x14ac:dyDescent="0.2">
      <c r="A214" t="s">
        <v>377</v>
      </c>
      <c r="B214" t="s">
        <v>96</v>
      </c>
      <c r="G214" t="s">
        <v>145</v>
      </c>
      <c r="T214" t="s">
        <v>53</v>
      </c>
    </row>
    <row r="215" spans="1:21" x14ac:dyDescent="0.2">
      <c r="A215" t="s">
        <v>378</v>
      </c>
      <c r="B215" t="s">
        <v>91</v>
      </c>
      <c r="G215" t="s">
        <v>379</v>
      </c>
      <c r="P215" t="s">
        <v>259</v>
      </c>
      <c r="T215" t="s">
        <v>53</v>
      </c>
    </row>
    <row r="216" spans="1:21" x14ac:dyDescent="0.2">
      <c r="A216" t="s">
        <v>380</v>
      </c>
      <c r="B216" t="s">
        <v>91</v>
      </c>
      <c r="G216" t="s">
        <v>379</v>
      </c>
      <c r="K216" t="s">
        <v>303</v>
      </c>
      <c r="T216" t="s">
        <v>53</v>
      </c>
    </row>
    <row r="217" spans="1:21" x14ac:dyDescent="0.2">
      <c r="A217" t="s">
        <v>381</v>
      </c>
      <c r="B217" t="s">
        <v>91</v>
      </c>
      <c r="G217" t="s">
        <v>379</v>
      </c>
      <c r="P217" t="s">
        <v>259</v>
      </c>
      <c r="T217" t="s">
        <v>53</v>
      </c>
    </row>
    <row r="218" spans="1:21" x14ac:dyDescent="0.2">
      <c r="A218" t="s">
        <v>382</v>
      </c>
      <c r="B218" t="s">
        <v>91</v>
      </c>
      <c r="G218" t="s">
        <v>379</v>
      </c>
      <c r="K218" t="s">
        <v>303</v>
      </c>
      <c r="T218" t="s">
        <v>53</v>
      </c>
    </row>
    <row r="219" spans="1:21" x14ac:dyDescent="0.2">
      <c r="A219" t="s">
        <v>383</v>
      </c>
      <c r="B219" t="s">
        <v>91</v>
      </c>
      <c r="G219" t="s">
        <v>379</v>
      </c>
      <c r="T219" t="s">
        <v>53</v>
      </c>
    </row>
    <row r="220" spans="1:21" x14ac:dyDescent="0.2">
      <c r="A220" t="s">
        <v>384</v>
      </c>
      <c r="B220" t="s">
        <v>91</v>
      </c>
      <c r="G220" t="s">
        <v>379</v>
      </c>
      <c r="T220" t="s">
        <v>53</v>
      </c>
    </row>
    <row r="221" spans="1:21" x14ac:dyDescent="0.2">
      <c r="A221" t="s">
        <v>385</v>
      </c>
      <c r="B221" t="s">
        <v>91</v>
      </c>
      <c r="G221" t="s">
        <v>379</v>
      </c>
      <c r="T221" t="s">
        <v>53</v>
      </c>
    </row>
    <row r="222" spans="1:21" x14ac:dyDescent="0.2">
      <c r="A222" t="s">
        <v>386</v>
      </c>
      <c r="B222" t="s">
        <v>91</v>
      </c>
      <c r="G222" t="s">
        <v>379</v>
      </c>
      <c r="T222" t="s">
        <v>53</v>
      </c>
    </row>
    <row r="223" spans="1:21" x14ac:dyDescent="0.2">
      <c r="A223" t="s">
        <v>387</v>
      </c>
      <c r="B223" t="s">
        <v>91</v>
      </c>
      <c r="G223" t="s">
        <v>379</v>
      </c>
      <c r="T223" t="s">
        <v>53</v>
      </c>
    </row>
    <row r="224" spans="1:21" x14ac:dyDescent="0.2">
      <c r="A224" t="s">
        <v>388</v>
      </c>
      <c r="B224" t="s">
        <v>91</v>
      </c>
      <c r="G224" t="s">
        <v>379</v>
      </c>
      <c r="K224" t="s">
        <v>83</v>
      </c>
      <c r="T224" t="s">
        <v>53</v>
      </c>
    </row>
    <row r="225" spans="1:20" x14ac:dyDescent="0.2">
      <c r="A225" t="s">
        <v>389</v>
      </c>
      <c r="B225" t="s">
        <v>91</v>
      </c>
      <c r="G225" t="s">
        <v>379</v>
      </c>
      <c r="K225" t="s">
        <v>303</v>
      </c>
      <c r="T225" t="s">
        <v>53</v>
      </c>
    </row>
    <row r="226" spans="1:20" x14ac:dyDescent="0.2">
      <c r="A226" t="s">
        <v>390</v>
      </c>
      <c r="B226" t="s">
        <v>91</v>
      </c>
      <c r="G226" t="s">
        <v>379</v>
      </c>
      <c r="K226" t="s">
        <v>83</v>
      </c>
      <c r="T226" t="s">
        <v>53</v>
      </c>
    </row>
    <row r="227" spans="1:20" x14ac:dyDescent="0.2">
      <c r="A227" t="s">
        <v>391</v>
      </c>
      <c r="B227" t="s">
        <v>91</v>
      </c>
      <c r="G227" t="s">
        <v>379</v>
      </c>
      <c r="K227" t="s">
        <v>303</v>
      </c>
      <c r="T227" t="s">
        <v>53</v>
      </c>
    </row>
    <row r="228" spans="1:20" x14ac:dyDescent="0.2">
      <c r="A228" t="s">
        <v>392</v>
      </c>
      <c r="B228" t="s">
        <v>91</v>
      </c>
      <c r="G228" t="s">
        <v>379</v>
      </c>
      <c r="T228" t="s">
        <v>53</v>
      </c>
    </row>
    <row r="229" spans="1:20" x14ac:dyDescent="0.2">
      <c r="A229" t="s">
        <v>393</v>
      </c>
      <c r="B229" t="s">
        <v>91</v>
      </c>
      <c r="G229" t="s">
        <v>379</v>
      </c>
      <c r="K229" t="s">
        <v>303</v>
      </c>
      <c r="T229" t="s">
        <v>53</v>
      </c>
    </row>
    <row r="230" spans="1:20" x14ac:dyDescent="0.2">
      <c r="A230" t="s">
        <v>394</v>
      </c>
      <c r="B230" t="s">
        <v>91</v>
      </c>
      <c r="G230" t="s">
        <v>379</v>
      </c>
      <c r="T230" t="s">
        <v>53</v>
      </c>
    </row>
    <row r="231" spans="1:20" x14ac:dyDescent="0.2">
      <c r="A231" t="s">
        <v>395</v>
      </c>
      <c r="B231" t="s">
        <v>91</v>
      </c>
      <c r="G231" t="s">
        <v>379</v>
      </c>
      <c r="K231" t="s">
        <v>269</v>
      </c>
      <c r="T231" t="s">
        <v>53</v>
      </c>
    </row>
    <row r="232" spans="1:20" x14ac:dyDescent="0.2">
      <c r="A232" t="s">
        <v>396</v>
      </c>
      <c r="B232" t="s">
        <v>96</v>
      </c>
      <c r="G232" t="s">
        <v>57</v>
      </c>
      <c r="K232" t="s">
        <v>152</v>
      </c>
      <c r="S232" t="s">
        <v>399</v>
      </c>
      <c r="T232" t="s">
        <v>53</v>
      </c>
    </row>
    <row r="233" spans="1:20" x14ac:dyDescent="0.2">
      <c r="A233" t="s">
        <v>397</v>
      </c>
      <c r="B233" t="s">
        <v>91</v>
      </c>
      <c r="G233" t="s">
        <v>379</v>
      </c>
      <c r="K233" t="s">
        <v>152</v>
      </c>
      <c r="T233" t="s">
        <v>53</v>
      </c>
    </row>
    <row r="234" spans="1:20" x14ac:dyDescent="0.2">
      <c r="A234" t="s">
        <v>398</v>
      </c>
      <c r="B234" t="s">
        <v>74</v>
      </c>
      <c r="G234" t="s">
        <v>50</v>
      </c>
      <c r="K234" t="s">
        <v>152</v>
      </c>
      <c r="S234" t="s">
        <v>399</v>
      </c>
      <c r="T234" t="s">
        <v>53</v>
      </c>
    </row>
    <row r="235" spans="1:20" x14ac:dyDescent="0.2">
      <c r="A235" t="s">
        <v>400</v>
      </c>
      <c r="B235" t="s">
        <v>74</v>
      </c>
      <c r="G235" t="s">
        <v>107</v>
      </c>
      <c r="K235" t="s">
        <v>152</v>
      </c>
      <c r="T235" t="s">
        <v>53</v>
      </c>
    </row>
    <row r="236" spans="1:20" x14ac:dyDescent="0.2">
      <c r="A236" t="s">
        <v>401</v>
      </c>
      <c r="B236" t="s">
        <v>257</v>
      </c>
      <c r="G236" t="s">
        <v>107</v>
      </c>
      <c r="K236" t="s">
        <v>274</v>
      </c>
      <c r="T236" t="s">
        <v>53</v>
      </c>
    </row>
    <row r="237" spans="1:20" x14ac:dyDescent="0.2">
      <c r="A237" t="s">
        <v>402</v>
      </c>
      <c r="B237" t="s">
        <v>74</v>
      </c>
      <c r="C237" t="s">
        <v>140</v>
      </c>
      <c r="G237" t="s">
        <v>57</v>
      </c>
      <c r="T237" t="s">
        <v>53</v>
      </c>
    </row>
    <row r="238" spans="1:20" x14ac:dyDescent="0.2">
      <c r="A238" t="s">
        <v>403</v>
      </c>
      <c r="B238" t="s">
        <v>74</v>
      </c>
      <c r="G238" t="s">
        <v>67</v>
      </c>
      <c r="T238" t="s">
        <v>53</v>
      </c>
    </row>
    <row r="239" spans="1:20" x14ac:dyDescent="0.2">
      <c r="A239" t="s">
        <v>404</v>
      </c>
      <c r="B239" t="s">
        <v>20</v>
      </c>
      <c r="C239" t="s">
        <v>140</v>
      </c>
      <c r="G239" t="s">
        <v>405</v>
      </c>
      <c r="S239" t="s">
        <v>270</v>
      </c>
      <c r="T239" t="s">
        <v>53</v>
      </c>
    </row>
    <row r="240" spans="1:20" x14ac:dyDescent="0.2">
      <c r="A240" t="s">
        <v>406</v>
      </c>
      <c r="B240" t="s">
        <v>74</v>
      </c>
      <c r="C240" t="s">
        <v>140</v>
      </c>
      <c r="G240" t="s">
        <v>57</v>
      </c>
      <c r="K240" t="s">
        <v>104</v>
      </c>
      <c r="T240" t="s">
        <v>53</v>
      </c>
    </row>
    <row r="241" spans="1:21" x14ac:dyDescent="0.2">
      <c r="A241" t="s">
        <v>407</v>
      </c>
      <c r="B241" t="s">
        <v>74</v>
      </c>
      <c r="G241" t="s">
        <v>67</v>
      </c>
      <c r="K241" t="s">
        <v>104</v>
      </c>
      <c r="S241" t="s">
        <v>270</v>
      </c>
      <c r="T241" t="s">
        <v>53</v>
      </c>
    </row>
    <row r="242" spans="1:21" x14ac:dyDescent="0.2">
      <c r="A242" t="s">
        <v>408</v>
      </c>
      <c r="B242" t="s">
        <v>20</v>
      </c>
      <c r="C242" t="s">
        <v>140</v>
      </c>
      <c r="G242" t="s">
        <v>57</v>
      </c>
      <c r="K242" t="s">
        <v>104</v>
      </c>
      <c r="T242" t="s">
        <v>53</v>
      </c>
    </row>
    <row r="243" spans="1:21" x14ac:dyDescent="0.2">
      <c r="A243" t="s">
        <v>409</v>
      </c>
      <c r="B243" t="s">
        <v>96</v>
      </c>
      <c r="G243" t="s">
        <v>57</v>
      </c>
      <c r="K243" t="s">
        <v>104</v>
      </c>
      <c r="S243" t="s">
        <v>72</v>
      </c>
      <c r="T243" t="s">
        <v>53</v>
      </c>
    </row>
    <row r="244" spans="1:21" x14ac:dyDescent="0.2">
      <c r="A244" t="s">
        <v>410</v>
      </c>
      <c r="B244" t="s">
        <v>74</v>
      </c>
      <c r="G244" t="s">
        <v>57</v>
      </c>
      <c r="K244" t="s">
        <v>290</v>
      </c>
      <c r="S244" t="s">
        <v>345</v>
      </c>
      <c r="T244" t="s">
        <v>53</v>
      </c>
    </row>
    <row r="245" spans="1:21" x14ac:dyDescent="0.2">
      <c r="A245" t="s">
        <v>411</v>
      </c>
      <c r="B245" t="s">
        <v>74</v>
      </c>
      <c r="C245" t="s">
        <v>31</v>
      </c>
      <c r="G245" t="s">
        <v>57</v>
      </c>
      <c r="S245" t="s">
        <v>412</v>
      </c>
      <c r="T245" t="s">
        <v>53</v>
      </c>
    </row>
    <row r="246" spans="1:21" x14ac:dyDescent="0.2">
      <c r="A246" t="s">
        <v>413</v>
      </c>
      <c r="B246" t="s">
        <v>74</v>
      </c>
      <c r="G246" t="s">
        <v>57</v>
      </c>
      <c r="K246" t="s">
        <v>133</v>
      </c>
      <c r="S246" t="s">
        <v>345</v>
      </c>
      <c r="T246" t="s">
        <v>53</v>
      </c>
    </row>
    <row r="247" spans="1:21" x14ac:dyDescent="0.2">
      <c r="A247" t="s">
        <v>414</v>
      </c>
      <c r="B247" t="s">
        <v>257</v>
      </c>
      <c r="C247" t="s">
        <v>31</v>
      </c>
      <c r="G247" t="s">
        <v>75</v>
      </c>
      <c r="T247" t="s">
        <v>53</v>
      </c>
    </row>
    <row r="248" spans="1:21" x14ac:dyDescent="0.2">
      <c r="A248" t="s">
        <v>415</v>
      </c>
      <c r="B248" t="s">
        <v>74</v>
      </c>
      <c r="G248" t="s">
        <v>57</v>
      </c>
      <c r="T248" t="s">
        <v>53</v>
      </c>
    </row>
    <row r="249" spans="1:21" x14ac:dyDescent="0.2">
      <c r="A249" t="s">
        <v>416</v>
      </c>
      <c r="B249" t="s">
        <v>74</v>
      </c>
      <c r="C249" t="s">
        <v>31</v>
      </c>
      <c r="G249" t="s">
        <v>57</v>
      </c>
      <c r="K249" t="s">
        <v>263</v>
      </c>
      <c r="T249" t="s">
        <v>53</v>
      </c>
    </row>
    <row r="250" spans="1:21" x14ac:dyDescent="0.2">
      <c r="A250" t="s">
        <v>417</v>
      </c>
      <c r="B250" t="s">
        <v>74</v>
      </c>
      <c r="G250" t="s">
        <v>57</v>
      </c>
      <c r="T250" t="s">
        <v>53</v>
      </c>
      <c r="U250" t="s">
        <v>127</v>
      </c>
    </row>
    <row r="251" spans="1:21" x14ac:dyDescent="0.2">
      <c r="A251" t="s">
        <v>418</v>
      </c>
      <c r="B251" t="s">
        <v>122</v>
      </c>
      <c r="C251" t="s">
        <v>31</v>
      </c>
      <c r="G251" t="s">
        <v>75</v>
      </c>
      <c r="K251" t="s">
        <v>263</v>
      </c>
      <c r="T251" t="s">
        <v>53</v>
      </c>
    </row>
    <row r="252" spans="1:21" x14ac:dyDescent="0.2">
      <c r="A252" t="s">
        <v>419</v>
      </c>
      <c r="B252" t="s">
        <v>74</v>
      </c>
      <c r="G252" t="s">
        <v>57</v>
      </c>
      <c r="T252" t="s">
        <v>53</v>
      </c>
      <c r="U252" t="s">
        <v>127</v>
      </c>
    </row>
    <row r="253" spans="1:21" x14ac:dyDescent="0.2">
      <c r="A253" t="s">
        <v>420</v>
      </c>
      <c r="B253" t="s">
        <v>74</v>
      </c>
      <c r="G253" t="s">
        <v>57</v>
      </c>
      <c r="T253" t="s">
        <v>53</v>
      </c>
    </row>
    <row r="254" spans="1:21" x14ac:dyDescent="0.2">
      <c r="A254" t="s">
        <v>421</v>
      </c>
      <c r="B254" t="s">
        <v>74</v>
      </c>
      <c r="G254" t="s">
        <v>57</v>
      </c>
      <c r="T254" t="s">
        <v>53</v>
      </c>
      <c r="U254" t="s">
        <v>127</v>
      </c>
    </row>
    <row r="255" spans="1:21" x14ac:dyDescent="0.2">
      <c r="A255" t="s">
        <v>422</v>
      </c>
      <c r="B255" t="s">
        <v>74</v>
      </c>
      <c r="G255" t="s">
        <v>57</v>
      </c>
      <c r="K255" t="s">
        <v>290</v>
      </c>
      <c r="T255" t="s">
        <v>53</v>
      </c>
    </row>
    <row r="256" spans="1:21" x14ac:dyDescent="0.2">
      <c r="A256" t="s">
        <v>423</v>
      </c>
      <c r="B256" t="s">
        <v>74</v>
      </c>
      <c r="G256" t="s">
        <v>112</v>
      </c>
      <c r="K256" t="s">
        <v>290</v>
      </c>
      <c r="T256" t="s">
        <v>113</v>
      </c>
      <c r="U256" t="s">
        <v>127</v>
      </c>
    </row>
    <row r="257" spans="1:21" x14ac:dyDescent="0.2">
      <c r="A257" t="s">
        <v>424</v>
      </c>
      <c r="B257" t="s">
        <v>74</v>
      </c>
      <c r="G257" t="s">
        <v>57</v>
      </c>
      <c r="K257" t="s">
        <v>290</v>
      </c>
      <c r="T257" t="s">
        <v>53</v>
      </c>
    </row>
    <row r="258" spans="1:21" x14ac:dyDescent="0.2">
      <c r="A258" t="s">
        <v>425</v>
      </c>
      <c r="B258" t="s">
        <v>74</v>
      </c>
      <c r="G258" t="s">
        <v>57</v>
      </c>
      <c r="K258" t="s">
        <v>290</v>
      </c>
      <c r="T258" t="s">
        <v>53</v>
      </c>
    </row>
    <row r="259" spans="1:21" x14ac:dyDescent="0.2">
      <c r="A259" t="s">
        <v>426</v>
      </c>
      <c r="B259" t="s">
        <v>74</v>
      </c>
      <c r="G259" t="s">
        <v>50</v>
      </c>
      <c r="K259" t="s">
        <v>290</v>
      </c>
      <c r="T259" t="s">
        <v>53</v>
      </c>
    </row>
    <row r="260" spans="1:21" x14ac:dyDescent="0.2">
      <c r="A260" t="s">
        <v>427</v>
      </c>
      <c r="B260" t="s">
        <v>91</v>
      </c>
      <c r="G260" t="s">
        <v>57</v>
      </c>
      <c r="T260" t="s">
        <v>53</v>
      </c>
    </row>
    <row r="261" spans="1:21" x14ac:dyDescent="0.2">
      <c r="A261" t="s">
        <v>428</v>
      </c>
      <c r="B261" t="s">
        <v>74</v>
      </c>
      <c r="G261" t="s">
        <v>57</v>
      </c>
      <c r="T261" t="s">
        <v>53</v>
      </c>
    </row>
    <row r="262" spans="1:21" x14ac:dyDescent="0.2">
      <c r="A262" t="s">
        <v>429</v>
      </c>
      <c r="B262" t="s">
        <v>74</v>
      </c>
      <c r="G262" t="s">
        <v>57</v>
      </c>
      <c r="T262" t="s">
        <v>53</v>
      </c>
    </row>
    <row r="263" spans="1:21" x14ac:dyDescent="0.2">
      <c r="A263" t="s">
        <v>430</v>
      </c>
      <c r="B263" t="s">
        <v>74</v>
      </c>
      <c r="G263" t="s">
        <v>112</v>
      </c>
      <c r="T263" t="s">
        <v>113</v>
      </c>
    </row>
    <row r="264" spans="1:21" x14ac:dyDescent="0.2">
      <c r="A264" t="s">
        <v>431</v>
      </c>
      <c r="B264" t="s">
        <v>257</v>
      </c>
      <c r="G264" t="s">
        <v>75</v>
      </c>
      <c r="T264" t="s">
        <v>432</v>
      </c>
    </row>
    <row r="265" spans="1:21" x14ac:dyDescent="0.2">
      <c r="A265" t="s">
        <v>433</v>
      </c>
      <c r="B265" t="s">
        <v>257</v>
      </c>
      <c r="G265" t="s">
        <v>57</v>
      </c>
      <c r="T265" t="s">
        <v>53</v>
      </c>
    </row>
    <row r="266" spans="1:21" x14ac:dyDescent="0.2">
      <c r="A266" t="s">
        <v>434</v>
      </c>
      <c r="B266" t="s">
        <v>257</v>
      </c>
      <c r="G266" t="s">
        <v>363</v>
      </c>
      <c r="T266" t="s">
        <v>53</v>
      </c>
    </row>
    <row r="267" spans="1:21" x14ac:dyDescent="0.2">
      <c r="A267" t="s">
        <v>435</v>
      </c>
      <c r="B267" t="s">
        <v>74</v>
      </c>
      <c r="G267" t="s">
        <v>436</v>
      </c>
      <c r="T267" t="s">
        <v>437</v>
      </c>
    </row>
    <row r="268" spans="1:21" x14ac:dyDescent="0.2">
      <c r="A268" t="s">
        <v>438</v>
      </c>
      <c r="B268" t="s">
        <v>74</v>
      </c>
      <c r="G268" t="s">
        <v>75</v>
      </c>
      <c r="T268" t="s">
        <v>432</v>
      </c>
      <c r="U268" t="s">
        <v>243</v>
      </c>
    </row>
    <row r="269" spans="1:21" x14ac:dyDescent="0.2">
      <c r="A269" t="s">
        <v>439</v>
      </c>
      <c r="B269" t="s">
        <v>74</v>
      </c>
      <c r="G269" t="s">
        <v>75</v>
      </c>
      <c r="T269" t="s">
        <v>432</v>
      </c>
    </row>
    <row r="270" spans="1:21" x14ac:dyDescent="0.2">
      <c r="A270" t="s">
        <v>440</v>
      </c>
      <c r="B270" t="s">
        <v>74</v>
      </c>
      <c r="G270" t="s">
        <v>75</v>
      </c>
      <c r="T270" t="s">
        <v>432</v>
      </c>
      <c r="U270" t="s">
        <v>243</v>
      </c>
    </row>
    <row r="271" spans="1:21" x14ac:dyDescent="0.2">
      <c r="A271" t="s">
        <v>441</v>
      </c>
      <c r="B271" t="s">
        <v>74</v>
      </c>
      <c r="G271" t="s">
        <v>436</v>
      </c>
      <c r="T271" t="s">
        <v>437</v>
      </c>
    </row>
    <row r="272" spans="1:21" x14ac:dyDescent="0.2">
      <c r="A272" t="s">
        <v>442</v>
      </c>
      <c r="B272" t="s">
        <v>74</v>
      </c>
      <c r="G272" t="s">
        <v>75</v>
      </c>
      <c r="T272" t="s">
        <v>432</v>
      </c>
      <c r="U272" t="s">
        <v>243</v>
      </c>
    </row>
    <row r="273" spans="1:22" x14ac:dyDescent="0.2">
      <c r="A273" t="s">
        <v>443</v>
      </c>
      <c r="B273" t="s">
        <v>74</v>
      </c>
      <c r="G273" t="s">
        <v>75</v>
      </c>
      <c r="K273" t="s">
        <v>312</v>
      </c>
      <c r="T273" t="s">
        <v>432</v>
      </c>
    </row>
    <row r="274" spans="1:22" x14ac:dyDescent="0.2">
      <c r="A274" t="s">
        <v>444</v>
      </c>
      <c r="B274" t="s">
        <v>74</v>
      </c>
      <c r="G274" t="s">
        <v>57</v>
      </c>
      <c r="S274" t="s">
        <v>399</v>
      </c>
      <c r="T274" t="s">
        <v>445</v>
      </c>
    </row>
    <row r="275" spans="1:22" x14ac:dyDescent="0.2">
      <c r="A275" t="s">
        <v>446</v>
      </c>
      <c r="B275" t="s">
        <v>74</v>
      </c>
      <c r="G275" t="s">
        <v>57</v>
      </c>
      <c r="K275" t="s">
        <v>312</v>
      </c>
      <c r="P275" t="s">
        <v>321</v>
      </c>
      <c r="T275" t="s">
        <v>53</v>
      </c>
    </row>
    <row r="276" spans="1:22" x14ac:dyDescent="0.2">
      <c r="A276" t="s">
        <v>447</v>
      </c>
      <c r="B276" t="s">
        <v>74</v>
      </c>
      <c r="G276" t="s">
        <v>57</v>
      </c>
      <c r="S276" t="s">
        <v>399</v>
      </c>
      <c r="T276" t="s">
        <v>53</v>
      </c>
    </row>
    <row r="277" spans="1:22" x14ac:dyDescent="0.2">
      <c r="A277" t="s">
        <v>448</v>
      </c>
      <c r="B277" t="s">
        <v>74</v>
      </c>
      <c r="G277" t="s">
        <v>107</v>
      </c>
      <c r="P277" t="s">
        <v>321</v>
      </c>
      <c r="S277" t="s">
        <v>231</v>
      </c>
      <c r="T277" t="s">
        <v>53</v>
      </c>
    </row>
    <row r="278" spans="1:22" x14ac:dyDescent="0.2">
      <c r="A278" t="s">
        <v>449</v>
      </c>
      <c r="B278" t="s">
        <v>74</v>
      </c>
      <c r="C278" t="s">
        <v>144</v>
      </c>
      <c r="G278" t="s">
        <v>57</v>
      </c>
      <c r="S278" t="s">
        <v>399</v>
      </c>
      <c r="T278" t="s">
        <v>53</v>
      </c>
    </row>
    <row r="279" spans="1:22" x14ac:dyDescent="0.2">
      <c r="A279" t="s">
        <v>450</v>
      </c>
      <c r="B279" t="s">
        <v>74</v>
      </c>
      <c r="C279" t="s">
        <v>144</v>
      </c>
      <c r="G279" t="s">
        <v>57</v>
      </c>
      <c r="K279" t="s">
        <v>58</v>
      </c>
      <c r="S279" t="s">
        <v>231</v>
      </c>
      <c r="T279" t="s">
        <v>53</v>
      </c>
    </row>
    <row r="280" spans="1:22" x14ac:dyDescent="0.2">
      <c r="A280" t="s">
        <v>451</v>
      </c>
      <c r="B280" t="s">
        <v>20</v>
      </c>
      <c r="C280" t="s">
        <v>144</v>
      </c>
      <c r="G280" t="s">
        <v>57</v>
      </c>
      <c r="K280" t="s">
        <v>58</v>
      </c>
      <c r="T280" t="s">
        <v>53</v>
      </c>
    </row>
    <row r="281" spans="1:22" x14ac:dyDescent="0.2">
      <c r="A281" t="s">
        <v>452</v>
      </c>
      <c r="B281" t="s">
        <v>20</v>
      </c>
      <c r="C281" t="s">
        <v>144</v>
      </c>
      <c r="G281" t="s">
        <v>57</v>
      </c>
      <c r="K281" t="s">
        <v>58</v>
      </c>
      <c r="T281" t="s">
        <v>53</v>
      </c>
    </row>
    <row r="282" spans="1:22" x14ac:dyDescent="0.2">
      <c r="A282" t="s">
        <v>453</v>
      </c>
      <c r="B282" t="s">
        <v>20</v>
      </c>
      <c r="C282" t="s">
        <v>140</v>
      </c>
      <c r="G282" t="s">
        <v>57</v>
      </c>
      <c r="K282" t="s">
        <v>58</v>
      </c>
      <c r="T282" t="s">
        <v>53</v>
      </c>
      <c r="V282">
        <v>10</v>
      </c>
    </row>
    <row r="283" spans="1:22" x14ac:dyDescent="0.2">
      <c r="A283" t="s">
        <v>454</v>
      </c>
      <c r="B283" t="s">
        <v>74</v>
      </c>
      <c r="G283" t="s">
        <v>57</v>
      </c>
      <c r="T283" t="s">
        <v>53</v>
      </c>
    </row>
    <row r="284" spans="1:22" x14ac:dyDescent="0.2">
      <c r="A284" t="s">
        <v>455</v>
      </c>
      <c r="B284" t="s">
        <v>74</v>
      </c>
      <c r="G284" t="s">
        <v>57</v>
      </c>
      <c r="K284" t="s">
        <v>58</v>
      </c>
      <c r="T284" t="s">
        <v>53</v>
      </c>
      <c r="V284">
        <v>10</v>
      </c>
    </row>
    <row r="285" spans="1:22" x14ac:dyDescent="0.2">
      <c r="A285" t="s">
        <v>456</v>
      </c>
      <c r="B285" t="s">
        <v>74</v>
      </c>
      <c r="C285" t="s">
        <v>140</v>
      </c>
      <c r="G285" t="s">
        <v>57</v>
      </c>
      <c r="S285" t="s">
        <v>72</v>
      </c>
      <c r="T285" t="s">
        <v>53</v>
      </c>
    </row>
    <row r="286" spans="1:22" x14ac:dyDescent="0.2">
      <c r="A286" t="s">
        <v>457</v>
      </c>
      <c r="B286" t="s">
        <v>74</v>
      </c>
      <c r="G286" t="s">
        <v>215</v>
      </c>
      <c r="S286" t="s">
        <v>186</v>
      </c>
      <c r="T286" t="s">
        <v>53</v>
      </c>
    </row>
    <row r="287" spans="1:22" x14ac:dyDescent="0.2">
      <c r="A287" t="s">
        <v>458</v>
      </c>
      <c r="B287" t="s">
        <v>20</v>
      </c>
      <c r="C287" t="s">
        <v>140</v>
      </c>
      <c r="G287" t="s">
        <v>163</v>
      </c>
      <c r="S287" t="s">
        <v>72</v>
      </c>
      <c r="T287" t="s">
        <v>53</v>
      </c>
    </row>
    <row r="288" spans="1:22" x14ac:dyDescent="0.2">
      <c r="A288" t="s">
        <v>459</v>
      </c>
      <c r="B288" t="s">
        <v>74</v>
      </c>
      <c r="G288" t="s">
        <v>57</v>
      </c>
      <c r="S288" t="s">
        <v>186</v>
      </c>
      <c r="T288" t="s">
        <v>53</v>
      </c>
    </row>
    <row r="289" spans="1:20" x14ac:dyDescent="0.2">
      <c r="A289" t="s">
        <v>460</v>
      </c>
      <c r="B289" t="s">
        <v>74</v>
      </c>
      <c r="G289" t="s">
        <v>57</v>
      </c>
      <c r="T289" t="s">
        <v>53</v>
      </c>
    </row>
    <row r="290" spans="1:20" x14ac:dyDescent="0.2">
      <c r="A290" t="s">
        <v>461</v>
      </c>
      <c r="B290" t="s">
        <v>74</v>
      </c>
      <c r="G290" t="s">
        <v>57</v>
      </c>
      <c r="T290" t="s">
        <v>53</v>
      </c>
    </row>
    <row r="291" spans="1:20" x14ac:dyDescent="0.2">
      <c r="A291" t="s">
        <v>462</v>
      </c>
      <c r="B291" t="s">
        <v>74</v>
      </c>
      <c r="C291" t="s">
        <v>31</v>
      </c>
      <c r="G291" t="s">
        <v>57</v>
      </c>
      <c r="T291" t="s">
        <v>53</v>
      </c>
    </row>
    <row r="292" spans="1:20" x14ac:dyDescent="0.2">
      <c r="A292" t="s">
        <v>463</v>
      </c>
      <c r="B292" t="s">
        <v>74</v>
      </c>
      <c r="G292" t="s">
        <v>50</v>
      </c>
      <c r="K292" t="s">
        <v>133</v>
      </c>
      <c r="S292" t="s">
        <v>178</v>
      </c>
      <c r="T292" t="s">
        <v>53</v>
      </c>
    </row>
    <row r="293" spans="1:20" x14ac:dyDescent="0.2">
      <c r="A293" t="s">
        <v>464</v>
      </c>
      <c r="B293" t="s">
        <v>70</v>
      </c>
      <c r="C293" t="s">
        <v>31</v>
      </c>
      <c r="G293" t="s">
        <v>57</v>
      </c>
      <c r="S293" t="s">
        <v>240</v>
      </c>
      <c r="T293" t="s">
        <v>53</v>
      </c>
    </row>
    <row r="294" spans="1:20" x14ac:dyDescent="0.2">
      <c r="A294" t="s">
        <v>465</v>
      </c>
      <c r="B294" t="s">
        <v>96</v>
      </c>
      <c r="C294" t="s">
        <v>31</v>
      </c>
      <c r="G294" t="s">
        <v>57</v>
      </c>
      <c r="K294" t="s">
        <v>133</v>
      </c>
      <c r="S294" t="s">
        <v>178</v>
      </c>
      <c r="T294" t="s">
        <v>53</v>
      </c>
    </row>
    <row r="295" spans="1:20" x14ac:dyDescent="0.2">
      <c r="A295" t="s">
        <v>466</v>
      </c>
      <c r="B295" t="s">
        <v>74</v>
      </c>
      <c r="C295" t="s">
        <v>31</v>
      </c>
      <c r="G295" t="s">
        <v>163</v>
      </c>
      <c r="P295" t="s">
        <v>78</v>
      </c>
      <c r="S295" t="s">
        <v>240</v>
      </c>
      <c r="T295" t="s">
        <v>53</v>
      </c>
    </row>
    <row r="296" spans="1:20" x14ac:dyDescent="0.2">
      <c r="A296" t="s">
        <v>467</v>
      </c>
      <c r="B296" t="s">
        <v>70</v>
      </c>
      <c r="C296" t="s">
        <v>31</v>
      </c>
      <c r="G296" t="s">
        <v>67</v>
      </c>
      <c r="T296" t="s">
        <v>53</v>
      </c>
    </row>
    <row r="297" spans="1:20" x14ac:dyDescent="0.2">
      <c r="A297" t="s">
        <v>468</v>
      </c>
      <c r="B297" t="s">
        <v>74</v>
      </c>
      <c r="C297" t="s">
        <v>31</v>
      </c>
      <c r="G297" t="s">
        <v>57</v>
      </c>
      <c r="P297" t="s">
        <v>78</v>
      </c>
      <c r="T297" t="s">
        <v>53</v>
      </c>
    </row>
    <row r="298" spans="1:20" x14ac:dyDescent="0.2">
      <c r="A298" t="s">
        <v>469</v>
      </c>
      <c r="B298" t="s">
        <v>74</v>
      </c>
      <c r="C298" t="s">
        <v>31</v>
      </c>
      <c r="G298" t="s">
        <v>57</v>
      </c>
      <c r="T298" t="s">
        <v>53</v>
      </c>
    </row>
    <row r="299" spans="1:20" x14ac:dyDescent="0.2">
      <c r="A299" t="s">
        <v>470</v>
      </c>
      <c r="B299" t="s">
        <v>74</v>
      </c>
      <c r="G299" t="s">
        <v>471</v>
      </c>
      <c r="T299" t="s">
        <v>53</v>
      </c>
    </row>
    <row r="300" spans="1:20" x14ac:dyDescent="0.2">
      <c r="A300" t="s">
        <v>472</v>
      </c>
      <c r="B300" t="s">
        <v>70</v>
      </c>
      <c r="G300" t="s">
        <v>57</v>
      </c>
      <c r="T300" t="s">
        <v>53</v>
      </c>
    </row>
    <row r="301" spans="1:20" x14ac:dyDescent="0.2">
      <c r="A301" t="s">
        <v>473</v>
      </c>
      <c r="B301" t="s">
        <v>74</v>
      </c>
      <c r="G301" t="s">
        <v>115</v>
      </c>
      <c r="P301" t="s">
        <v>78</v>
      </c>
      <c r="T301" t="s">
        <v>53</v>
      </c>
    </row>
    <row r="302" spans="1:20" x14ac:dyDescent="0.2">
      <c r="A302" t="s">
        <v>474</v>
      </c>
      <c r="B302" t="s">
        <v>74</v>
      </c>
      <c r="G302" t="s">
        <v>115</v>
      </c>
      <c r="T302" t="s">
        <v>53</v>
      </c>
    </row>
    <row r="303" spans="1:20" x14ac:dyDescent="0.2">
      <c r="A303" t="s">
        <v>475</v>
      </c>
      <c r="B303" t="s">
        <v>74</v>
      </c>
      <c r="G303" t="s">
        <v>163</v>
      </c>
      <c r="P303" t="s">
        <v>78</v>
      </c>
      <c r="T303" t="s">
        <v>53</v>
      </c>
    </row>
    <row r="304" spans="1:20" x14ac:dyDescent="0.2">
      <c r="A304" t="s">
        <v>476</v>
      </c>
      <c r="B304" t="s">
        <v>74</v>
      </c>
      <c r="C304" t="s">
        <v>31</v>
      </c>
      <c r="G304" t="s">
        <v>107</v>
      </c>
      <c r="T304" t="s">
        <v>53</v>
      </c>
    </row>
    <row r="305" spans="1:22" x14ac:dyDescent="0.2">
      <c r="A305" t="s">
        <v>477</v>
      </c>
      <c r="B305" t="s">
        <v>74</v>
      </c>
      <c r="G305" t="s">
        <v>50</v>
      </c>
      <c r="K305" t="s">
        <v>333</v>
      </c>
      <c r="T305" t="s">
        <v>53</v>
      </c>
    </row>
    <row r="306" spans="1:22" x14ac:dyDescent="0.2">
      <c r="A306" t="s">
        <v>478</v>
      </c>
      <c r="B306" t="s">
        <v>74</v>
      </c>
      <c r="C306" t="s">
        <v>31</v>
      </c>
      <c r="G306" t="s">
        <v>57</v>
      </c>
      <c r="K306" t="s">
        <v>58</v>
      </c>
      <c r="T306" t="s">
        <v>53</v>
      </c>
      <c r="V306">
        <v>3</v>
      </c>
    </row>
    <row r="307" spans="1:22" x14ac:dyDescent="0.2">
      <c r="A307" t="s">
        <v>479</v>
      </c>
      <c r="B307" t="s">
        <v>257</v>
      </c>
      <c r="G307" t="s">
        <v>57</v>
      </c>
      <c r="K307" t="s">
        <v>333</v>
      </c>
      <c r="T307" t="s">
        <v>53</v>
      </c>
      <c r="V307">
        <v>3</v>
      </c>
    </row>
    <row r="308" spans="1:22" x14ac:dyDescent="0.2">
      <c r="A308" t="s">
        <v>480</v>
      </c>
      <c r="B308" t="s">
        <v>74</v>
      </c>
      <c r="G308" t="s">
        <v>57</v>
      </c>
      <c r="K308" t="s">
        <v>58</v>
      </c>
      <c r="T308" t="s">
        <v>53</v>
      </c>
      <c r="V308">
        <v>3</v>
      </c>
    </row>
    <row r="309" spans="1:22" x14ac:dyDescent="0.2">
      <c r="A309" t="s">
        <v>481</v>
      </c>
      <c r="B309" t="s">
        <v>74</v>
      </c>
      <c r="G309" t="s">
        <v>57</v>
      </c>
      <c r="K309" t="s">
        <v>58</v>
      </c>
      <c r="T309" t="s">
        <v>53</v>
      </c>
      <c r="V309">
        <v>3</v>
      </c>
    </row>
    <row r="310" spans="1:22" x14ac:dyDescent="0.2">
      <c r="A310" t="s">
        <v>482</v>
      </c>
      <c r="B310" t="s">
        <v>74</v>
      </c>
      <c r="G310" t="s">
        <v>57</v>
      </c>
      <c r="K310" t="s">
        <v>152</v>
      </c>
      <c r="T310" t="s">
        <v>53</v>
      </c>
    </row>
    <row r="311" spans="1:22" x14ac:dyDescent="0.2">
      <c r="A311" t="s">
        <v>483</v>
      </c>
      <c r="B311" t="s">
        <v>74</v>
      </c>
      <c r="G311" t="s">
        <v>57</v>
      </c>
      <c r="T311" t="s">
        <v>53</v>
      </c>
    </row>
    <row r="312" spans="1:22" x14ac:dyDescent="0.2">
      <c r="A312" t="s">
        <v>484</v>
      </c>
      <c r="B312" t="s">
        <v>74</v>
      </c>
      <c r="G312" t="s">
        <v>50</v>
      </c>
      <c r="T312" t="s">
        <v>53</v>
      </c>
    </row>
    <row r="313" spans="1:22" x14ac:dyDescent="0.2">
      <c r="A313" t="s">
        <v>485</v>
      </c>
      <c r="B313" t="s">
        <v>74</v>
      </c>
      <c r="G313" t="s">
        <v>57</v>
      </c>
      <c r="P313" t="s">
        <v>51</v>
      </c>
      <c r="T313" t="s">
        <v>53</v>
      </c>
    </row>
    <row r="314" spans="1:22" x14ac:dyDescent="0.2">
      <c r="A314" t="s">
        <v>514</v>
      </c>
      <c r="B314" t="s">
        <v>70</v>
      </c>
      <c r="C314" t="s">
        <v>28</v>
      </c>
      <c r="D314" t="s">
        <v>56</v>
      </c>
      <c r="G314" t="s">
        <v>57</v>
      </c>
      <c r="P314" t="s">
        <v>51</v>
      </c>
      <c r="T314" t="s">
        <v>53</v>
      </c>
    </row>
    <row r="315" spans="1:22" x14ac:dyDescent="0.2">
      <c r="A315" t="s">
        <v>488</v>
      </c>
      <c r="B315" t="s">
        <v>96</v>
      </c>
      <c r="C315" t="s">
        <v>31</v>
      </c>
      <c r="G315" t="s">
        <v>57</v>
      </c>
      <c r="T315" t="s">
        <v>53</v>
      </c>
    </row>
    <row r="316" spans="1:22" x14ac:dyDescent="0.2">
      <c r="A316" t="s">
        <v>489</v>
      </c>
      <c r="B316" t="s">
        <v>20</v>
      </c>
      <c r="C316" t="s">
        <v>144</v>
      </c>
      <c r="G316" t="s">
        <v>71</v>
      </c>
      <c r="P316" t="s">
        <v>142</v>
      </c>
      <c r="T316" t="s">
        <v>53</v>
      </c>
      <c r="U316" t="s">
        <v>76</v>
      </c>
    </row>
    <row r="317" spans="1:22" x14ac:dyDescent="0.2">
      <c r="A317" t="s">
        <v>490</v>
      </c>
      <c r="B317" t="s">
        <v>20</v>
      </c>
      <c r="C317" t="s">
        <v>144</v>
      </c>
      <c r="G317" t="s">
        <v>50</v>
      </c>
      <c r="K317" t="s">
        <v>123</v>
      </c>
      <c r="S317" t="s">
        <v>367</v>
      </c>
      <c r="T317" t="s">
        <v>53</v>
      </c>
    </row>
    <row r="318" spans="1:22" x14ac:dyDescent="0.2">
      <c r="A318" t="s">
        <v>491</v>
      </c>
      <c r="B318" t="s">
        <v>20</v>
      </c>
      <c r="C318" t="s">
        <v>140</v>
      </c>
      <c r="G318" t="s">
        <v>71</v>
      </c>
      <c r="T318" t="s">
        <v>53</v>
      </c>
    </row>
    <row r="319" spans="1:22" x14ac:dyDescent="0.2">
      <c r="A319" t="s">
        <v>492</v>
      </c>
      <c r="B319" t="s">
        <v>74</v>
      </c>
      <c r="C319" t="s">
        <v>30</v>
      </c>
      <c r="G319" t="s">
        <v>141</v>
      </c>
      <c r="T319" t="s">
        <v>53</v>
      </c>
    </row>
    <row r="320" spans="1:22" x14ac:dyDescent="0.2">
      <c r="A320" t="s">
        <v>493</v>
      </c>
      <c r="B320" t="s">
        <v>74</v>
      </c>
      <c r="C320" t="s">
        <v>28</v>
      </c>
      <c r="D320" t="s">
        <v>66</v>
      </c>
      <c r="G320" t="s">
        <v>71</v>
      </c>
      <c r="T320" t="s">
        <v>53</v>
      </c>
    </row>
    <row r="321" spans="1:21" x14ac:dyDescent="0.2">
      <c r="A321" t="s">
        <v>494</v>
      </c>
      <c r="B321" t="s">
        <v>70</v>
      </c>
      <c r="C321" t="s">
        <v>28</v>
      </c>
      <c r="D321" t="s">
        <v>49</v>
      </c>
      <c r="G321" t="s">
        <v>71</v>
      </c>
      <c r="T321" t="s">
        <v>53</v>
      </c>
    </row>
    <row r="322" spans="1:21" x14ac:dyDescent="0.2">
      <c r="A322" t="s">
        <v>515</v>
      </c>
      <c r="B322" t="s">
        <v>70</v>
      </c>
      <c r="C322" t="s">
        <v>28</v>
      </c>
      <c r="D322" t="s">
        <v>56</v>
      </c>
      <c r="G322" t="s">
        <v>57</v>
      </c>
      <c r="T322" t="s">
        <v>53</v>
      </c>
    </row>
    <row r="323" spans="1:21" x14ac:dyDescent="0.2">
      <c r="A323" t="s">
        <v>516</v>
      </c>
      <c r="B323" t="s">
        <v>70</v>
      </c>
      <c r="C323" t="s">
        <v>28</v>
      </c>
      <c r="D323" t="s">
        <v>66</v>
      </c>
      <c r="G323" t="s">
        <v>57</v>
      </c>
      <c r="P323" t="s">
        <v>59</v>
      </c>
      <c r="T323" t="s">
        <v>53</v>
      </c>
      <c r="U323" t="s">
        <v>124</v>
      </c>
    </row>
    <row r="324" spans="1:21" x14ac:dyDescent="0.2">
      <c r="A324" t="s">
        <v>517</v>
      </c>
      <c r="B324" t="s">
        <v>74</v>
      </c>
      <c r="G324" t="s">
        <v>71</v>
      </c>
      <c r="T324" t="s">
        <v>53</v>
      </c>
    </row>
    <row r="325" spans="1:21" x14ac:dyDescent="0.2">
      <c r="A325" t="s">
        <v>518</v>
      </c>
      <c r="B325" t="s">
        <v>74</v>
      </c>
      <c r="G325" t="s">
        <v>519</v>
      </c>
      <c r="T325" t="s">
        <v>437</v>
      </c>
    </row>
    <row r="326" spans="1:21" x14ac:dyDescent="0.2">
      <c r="A326" t="s">
        <v>520</v>
      </c>
      <c r="B326" t="s">
        <v>20</v>
      </c>
      <c r="C326" t="s">
        <v>140</v>
      </c>
      <c r="G326" t="s">
        <v>71</v>
      </c>
      <c r="T326" t="s">
        <v>53</v>
      </c>
    </row>
    <row r="327" spans="1:21" x14ac:dyDescent="0.2">
      <c r="A327" t="s">
        <v>521</v>
      </c>
      <c r="B327" t="s">
        <v>70</v>
      </c>
      <c r="C327" t="s">
        <v>28</v>
      </c>
      <c r="D327" t="s">
        <v>49</v>
      </c>
      <c r="G327" t="s">
        <v>71</v>
      </c>
      <c r="T327" t="s">
        <v>53</v>
      </c>
    </row>
    <row r="328" spans="1:21" x14ac:dyDescent="0.2">
      <c r="A328" t="s">
        <v>522</v>
      </c>
      <c r="B328" t="s">
        <v>20</v>
      </c>
      <c r="C328" t="s">
        <v>144</v>
      </c>
      <c r="D328" t="s">
        <v>49</v>
      </c>
      <c r="T328" t="s">
        <v>53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Parameters</vt:lpstr>
      <vt:lpstr>Capacity</vt:lpstr>
      <vt:lpstr>GITHUB_EPICS</vt:lpstr>
      <vt:lpstr>EPICS_CLASSIFICATION</vt:lpstr>
      <vt:lpstr>EPICS_ESTIMATE</vt:lpstr>
      <vt:lpstr>EPICS_PERIOD</vt:lpstr>
      <vt:lpstr>EPICS_STATUS</vt:lpstr>
      <vt:lpstr>PERIODS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Neil Smyth</dc:creator>
  <dc:description/>
  <cp:lastModifiedBy>Neil Smyth</cp:lastModifiedBy>
  <cp:revision>1</cp:revision>
  <dcterms:created xsi:type="dcterms:W3CDTF">2023-01-30T14:25:48Z</dcterms:created>
  <dcterms:modified xsi:type="dcterms:W3CDTF">2025-10-08T13:08:00Z</dcterms:modified>
  <dc:language>en-US</dc:language>
</cp:coreProperties>
</file>