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il\Documents\DevAlkemio\github-api\"/>
    </mc:Choice>
  </mc:AlternateContent>
  <xr:revisionPtr revIDLastSave="0" documentId="13_ncr:1_{1CC961D7-6C9B-405C-9383-E56C9AB9FD75}" xr6:coauthVersionLast="47" xr6:coauthVersionMax="47" xr10:uidLastSave="{00000000-0000-0000-0000-000000000000}"/>
  <bookViews>
    <workbookView xWindow="-98" yWindow="-98" windowWidth="21795" windowHeight="12975" tabRatio="500" activeTab="2" xr2:uid="{00000000-000D-0000-FFFF-FFFF00000000}"/>
  </bookViews>
  <sheets>
    <sheet name="Parameters" sheetId="1" r:id="rId1"/>
    <sheet name="Capacity" sheetId="2" r:id="rId2"/>
    <sheet name="GITHUB_EPICS" sheetId="4" r:id="rId3"/>
  </sheets>
  <definedNames>
    <definedName name="_xlnm._FilterDatabase" localSheetId="2" hidden="1">GITHUB_EPICS!$A$1:$L$157</definedName>
    <definedName name="EPICS_ESTIMATE">GITHUB_EPICS!$F$2:$F$199</definedName>
    <definedName name="EPICS_PERIOD">GITHUB_EPICS!$G$2:$G$199</definedName>
    <definedName name="EPICS_STATUS">GITHUB_EPICS!$D$2:$D$199</definedName>
    <definedName name="EPICS_TYPE">GITHUB_EPICS!$E$2:$E$199</definedName>
    <definedName name="PERIODS">Parameters!$A$6:$A$44</definedName>
    <definedName name="PLANNING">Parameters!$A$6:$J$10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1" l="1"/>
  <c r="B9" i="2"/>
  <c r="D9" i="2"/>
  <c r="F9" i="2"/>
  <c r="G9" i="2"/>
  <c r="H9" i="2"/>
  <c r="I9" i="2"/>
  <c r="J9" i="2"/>
  <c r="K9" i="2"/>
  <c r="L9" i="2"/>
  <c r="B10" i="2"/>
  <c r="D10" i="2"/>
  <c r="F10" i="2"/>
  <c r="G10" i="2"/>
  <c r="H10" i="2"/>
  <c r="I10" i="2"/>
  <c r="J10" i="2"/>
  <c r="K10" i="2"/>
  <c r="L10" i="2"/>
  <c r="B10" i="1"/>
  <c r="E10" i="1" s="1"/>
  <c r="G10" i="1" s="1"/>
  <c r="I10" i="1" s="1"/>
  <c r="C9" i="2" s="1"/>
  <c r="G7" i="1"/>
  <c r="F5" i="2"/>
  <c r="G5" i="2"/>
  <c r="H5" i="2"/>
  <c r="I5" i="2"/>
  <c r="J5" i="2"/>
  <c r="K5" i="2"/>
  <c r="L5" i="2"/>
  <c r="G6" i="2"/>
  <c r="H6" i="2"/>
  <c r="I6" i="2"/>
  <c r="J6" i="2"/>
  <c r="K6" i="2"/>
  <c r="L6" i="2"/>
  <c r="F6" i="2"/>
  <c r="E7" i="1"/>
  <c r="B8" i="1"/>
  <c r="E8" i="1" s="1"/>
  <c r="G8" i="1" s="1"/>
  <c r="I8" i="1" s="1"/>
  <c r="E6" i="1"/>
  <c r="G6" i="1" s="1"/>
  <c r="I6" i="1" s="1"/>
  <c r="B9" i="1"/>
  <c r="E9" i="1" s="1"/>
  <c r="B5" i="2"/>
  <c r="D6" i="2"/>
  <c r="D5" i="2"/>
  <c r="B6" i="2"/>
  <c r="A11" i="2"/>
  <c r="H11" i="2" s="1"/>
  <c r="A8" i="2"/>
  <c r="H8" i="2" s="1"/>
  <c r="A7" i="2"/>
  <c r="F7" i="2" s="1"/>
  <c r="E9" i="2" l="1"/>
  <c r="C10" i="2"/>
  <c r="E10" i="2"/>
  <c r="M10" i="2" s="1"/>
  <c r="M9" i="2"/>
  <c r="E6" i="2"/>
  <c r="M6" i="2" s="1"/>
  <c r="E5" i="2"/>
  <c r="M5" i="2" s="1"/>
  <c r="J8" i="2"/>
  <c r="F8" i="2"/>
  <c r="G8" i="2"/>
  <c r="L7" i="2"/>
  <c r="J7" i="2"/>
  <c r="L8" i="2"/>
  <c r="K8" i="2"/>
  <c r="I7" i="2"/>
  <c r="I8" i="2"/>
  <c r="H7" i="2"/>
  <c r="F11" i="2"/>
  <c r="G7" i="2"/>
  <c r="K7" i="2"/>
  <c r="C5" i="2"/>
  <c r="C7" i="2"/>
  <c r="I7" i="1"/>
  <c r="C6" i="2" s="1"/>
  <c r="C11" i="2"/>
  <c r="G9" i="1"/>
  <c r="I9" i="1" s="1"/>
  <c r="C8" i="2" s="1"/>
  <c r="D7" i="2"/>
  <c r="D11" i="2"/>
  <c r="D8" i="2"/>
  <c r="J11" i="2"/>
  <c r="I11" i="2"/>
  <c r="K11" i="2"/>
  <c r="B11" i="2"/>
  <c r="G11" i="2"/>
  <c r="B8" i="2"/>
  <c r="L11" i="2"/>
  <c r="B7" i="2"/>
  <c r="E11" i="2" l="1"/>
  <c r="M11" i="2" s="1"/>
  <c r="E8" i="2"/>
  <c r="M8" i="2" s="1"/>
  <c r="E7" i="2"/>
  <c r="M7" i="2" s="1"/>
</calcChain>
</file>

<file path=xl/sharedStrings.xml><?xml version="1.0" encoding="utf-8"?>
<sst xmlns="http://schemas.openxmlformats.org/spreadsheetml/2006/main" count="47" uniqueCount="46">
  <si>
    <t>Capacity planning for Alkemio</t>
  </si>
  <si>
    <t>This tab provides teams' velocity and overall releases capacity overview based on the current version of 2015 release calendar.</t>
  </si>
  <si>
    <t>Time Period</t>
  </si>
  <si>
    <t>Time Period End</t>
  </si>
  <si>
    <t>Features allocation, %</t>
  </si>
  <si>
    <t>Development Sprints available</t>
  </si>
  <si>
    <t>Points / sprint</t>
  </si>
  <si>
    <t>Capacity</t>
  </si>
  <si>
    <t>Comments</t>
  </si>
  <si>
    <t>2023 Q1</t>
  </si>
  <si>
    <t>2023 Q2</t>
  </si>
  <si>
    <t>Delivery</t>
  </si>
  <si>
    <t>Planned</t>
  </si>
  <si>
    <t>Available</t>
  </si>
  <si>
    <t>Repository</t>
  </si>
  <si>
    <t>Labels</t>
  </si>
  <si>
    <t>Title</t>
  </si>
  <si>
    <t>Status</t>
  </si>
  <si>
    <t>Period</t>
  </si>
  <si>
    <t>EpicPoints</t>
  </si>
  <si>
    <t>Partner</t>
  </si>
  <si>
    <t>Sprint</t>
  </si>
  <si>
    <t>Assignees</t>
  </si>
  <si>
    <t>SprintPoints</t>
  </si>
  <si>
    <t>Done</t>
  </si>
  <si>
    <t>Maintenance</t>
  </si>
  <si>
    <t>Not specified</t>
  </si>
  <si>
    <t>Functionality: Strategic</t>
  </si>
  <si>
    <t>Performance</t>
  </si>
  <si>
    <t>Operations: Security</t>
  </si>
  <si>
    <t>Operations: Effectiveness</t>
  </si>
  <si>
    <t>Functionality: Tactical</t>
  </si>
  <si>
    <t>Usability</t>
  </si>
  <si>
    <t>Milestone</t>
  </si>
  <si>
    <t>Note: update to have each period start / end adjustable</t>
  </si>
  <si>
    <t>Time Period Start</t>
  </si>
  <si>
    <t>Available Sprints</t>
  </si>
  <si>
    <t>Vacations / Done (sprints)</t>
  </si>
  <si>
    <t>Total</t>
  </si>
  <si>
    <t>2024 Q1</t>
  </si>
  <si>
    <t>2024 Q2</t>
  </si>
  <si>
    <t>2025 Q4</t>
  </si>
  <si>
    <t>2026 Q4</t>
  </si>
  <si>
    <t>2026 Q1</t>
  </si>
  <si>
    <t>2026 Q2</t>
  </si>
  <si>
    <t>2026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</si>
</sst>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7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  <fill>
      <patternFill patternType="solid">
        <fgColor rgb="FFB4C7E7"/>
        <bgColor rgb="FFBFBFBF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3" fillId="0" borderId="0" applyBorder="0" applyProtection="0"/>
    <xf numFmtId="0" fontId="3" fillId="2" borderId="0" applyBorder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 applyAlignment="1">
      <alignment horizontal="left"/>
    </xf>
    <xf numFmtId="164" fontId="0" fillId="0" borderId="2" xfId="0" applyNumberFormat="1" applyBorder="1" applyAlignment="1">
      <alignment horizontal="center"/>
    </xf>
    <xf numFmtId="9" fontId="3" fillId="0" borderId="2" xfId="1" applyBorder="1" applyProtection="1"/>
    <xf numFmtId="165" fontId="0" fillId="0" borderId="2" xfId="0" applyNumberFormat="1" applyBorder="1"/>
    <xf numFmtId="1" fontId="0" fillId="0" borderId="2" xfId="0" applyNumberFormat="1" applyBorder="1"/>
    <xf numFmtId="0" fontId="2" fillId="0" borderId="0" xfId="0" applyFont="1" applyAlignment="1">
      <alignment horizontal="left"/>
    </xf>
    <xf numFmtId="1" fontId="0" fillId="0" borderId="0" xfId="0" applyNumberFormat="1"/>
    <xf numFmtId="0" fontId="4" fillId="0" borderId="0" xfId="0" applyFont="1"/>
    <xf numFmtId="0" fontId="5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3" fillId="2" borderId="2" xfId="2" applyBorder="1" applyAlignment="1" applyProtection="1">
      <alignment horizontal="left" vertical="top" wrapText="1"/>
    </xf>
  </cellXfs>
  <cellStyles count="3">
    <cellStyle name="Excel Built-in 20% - Accent6" xfId="2" xr:uid="{00000000-0005-0000-0000-000006000000}"/>
    <cellStyle name="Normal" xfId="0" builtinId="0"/>
    <cellStyle name="Percent" xfId="1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40404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404040"/>
                </a:solidFill>
                <a:latin typeface="Calibri"/>
              </a:rPr>
              <a:t>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Capacity!$B$4:$C$4</c:f>
              <c:strCache>
                <c:ptCount val="1"/>
                <c:pt idx="0">
                  <c:v>Planned Available</c:v>
                </c:pt>
              </c:strCache>
            </c:strRef>
          </c:tx>
          <c:spPr>
            <a:solidFill>
              <a:srgbClr val="4472C4">
                <a:alpha val="85000"/>
              </a:srgbClr>
            </a:solidFill>
            <a:ln w="9360">
              <a:solidFill>
                <a:srgbClr val="FFFFFF">
                  <a:alpha val="50000"/>
                </a:srgbClr>
              </a:solidFill>
              <a:round/>
            </a:ln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Capacity!$A$5:$A$11</c:f>
              <c:strCache>
                <c:ptCount val="7"/>
                <c:pt idx="0">
                  <c:v>2023 Q1</c:v>
                </c:pt>
                <c:pt idx="1">
                  <c:v>2023 Q2</c:v>
                </c:pt>
                <c:pt idx="2">
                  <c:v>2026 Q2</c:v>
                </c:pt>
                <c:pt idx="3">
                  <c:v>2026 Q3</c:v>
                </c:pt>
                <c:pt idx="4">
                  <c:v>2024 Q1</c:v>
                </c:pt>
                <c:pt idx="5">
                  <c:v>2024 Q2</c:v>
                </c:pt>
                <c:pt idx="6">
                  <c:v>#REF!</c:v>
                </c:pt>
              </c:strCache>
            </c:strRef>
          </c:cat>
          <c:val>
            <c:numRef>
              <c:f>Capacity!$B$5:$B$11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4-43F4-BA43-630D9E3479BE}"/>
            </c:ext>
          </c:extLst>
        </c:ser>
        <c:ser>
          <c:idx val="1"/>
          <c:order val="1"/>
          <c:spPr>
            <a:solidFill>
              <a:srgbClr val="ED7D31">
                <a:alpha val="85000"/>
              </a:srgbClr>
            </a:solidFill>
            <a:ln w="9360">
              <a:solidFill>
                <a:srgbClr val="FFFFFF">
                  <a:alpha val="50000"/>
                </a:srgbClr>
              </a:solidFill>
              <a:round/>
            </a:ln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Capacity!$A$5:$A$11</c:f>
              <c:strCache>
                <c:ptCount val="7"/>
                <c:pt idx="0">
                  <c:v>2023 Q1</c:v>
                </c:pt>
                <c:pt idx="1">
                  <c:v>2023 Q2</c:v>
                </c:pt>
                <c:pt idx="2">
                  <c:v>2026 Q2</c:v>
                </c:pt>
                <c:pt idx="3">
                  <c:v>2026 Q3</c:v>
                </c:pt>
                <c:pt idx="4">
                  <c:v>2024 Q1</c:v>
                </c:pt>
                <c:pt idx="5">
                  <c:v>2024 Q2</c:v>
                </c:pt>
                <c:pt idx="6">
                  <c:v>#REF!</c:v>
                </c:pt>
              </c:strCache>
            </c:strRef>
          </c:cat>
          <c:val>
            <c:numRef>
              <c:f>Capacity!$C$5:$C$11</c:f>
              <c:numCache>
                <c:formatCode>0</c:formatCode>
                <c:ptCount val="7"/>
                <c:pt idx="0">
                  <c:v>756</c:v>
                </c:pt>
                <c:pt idx="1">
                  <c:v>771.42857142857144</c:v>
                </c:pt>
                <c:pt idx="2">
                  <c:v>600</c:v>
                </c:pt>
                <c:pt idx="3">
                  <c:v>657.14285714285711</c:v>
                </c:pt>
                <c:pt idx="4">
                  <c:v>607.14285714285711</c:v>
                </c:pt>
                <c:pt idx="5">
                  <c:v>607.14285714285711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E4-43F4-BA43-630D9E347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70811296"/>
        <c:axId val="21869291"/>
      </c:barChart>
      <c:catAx>
        <c:axId val="70811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Calibri"/>
              </a:defRPr>
            </a:pPr>
            <a:endParaRPr lang="en-US"/>
          </a:p>
        </c:txPr>
        <c:crossAx val="21869291"/>
        <c:crosses val="autoZero"/>
        <c:auto val="1"/>
        <c:lblAlgn val="ctr"/>
        <c:lblOffset val="100"/>
        <c:noMultiLvlLbl val="0"/>
      </c:catAx>
      <c:valAx>
        <c:axId val="21869291"/>
        <c:scaling>
          <c:orientation val="minMax"/>
        </c:scaling>
        <c:delete val="1"/>
        <c:axPos val="l"/>
        <c:majorGridlines>
          <c:spPr>
            <a:ln w="9360">
              <a:solidFill>
                <a:srgbClr val="BFBFBF">
                  <a:alpha val="36000"/>
                </a:srgb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708112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FFFFFF"/>
        </a:gs>
        <a:gs pos="100000">
          <a:srgbClr val="BFBFBF"/>
        </a:gs>
      </a:gsLst>
      <a:path path="circle">
        <a:fillToRect l="50000" r="50000" b="100000"/>
      </a:path>
    </a:gradFill>
    <a:ln w="9360">
      <a:solidFill>
        <a:srgbClr val="BFBFBF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Epics</a:t>
            </a:r>
            <a:r>
              <a:rPr lang="en-GB" baseline="0"/>
              <a:t>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Capacity!$F$4</c:f>
              <c:strCache>
                <c:ptCount val="1"/>
                <c:pt idx="0">
                  <c:v>Functionality: Tactical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Capacity!$A$5:$A$8</c:f>
              <c:strCache>
                <c:ptCount val="4"/>
                <c:pt idx="0">
                  <c:v>2023 Q1</c:v>
                </c:pt>
                <c:pt idx="1">
                  <c:v>2023 Q2</c:v>
                </c:pt>
                <c:pt idx="2">
                  <c:v>2026 Q2</c:v>
                </c:pt>
                <c:pt idx="3">
                  <c:v>2026 Q3</c:v>
                </c:pt>
              </c:strCache>
            </c:strRef>
          </c:cat>
          <c:val>
            <c:numRef>
              <c:f>Capacity!$F$5:$F$8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DC-4B98-99BD-BFCD2233A6BE}"/>
            </c:ext>
          </c:extLst>
        </c:ser>
        <c:ser>
          <c:idx val="3"/>
          <c:order val="1"/>
          <c:tx>
            <c:strRef>
              <c:f>Capacity!$G$4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Capacity!$A$5:$A$8</c:f>
              <c:strCache>
                <c:ptCount val="4"/>
                <c:pt idx="0">
                  <c:v>2023 Q1</c:v>
                </c:pt>
                <c:pt idx="1">
                  <c:v>2023 Q2</c:v>
                </c:pt>
                <c:pt idx="2">
                  <c:v>2026 Q2</c:v>
                </c:pt>
                <c:pt idx="3">
                  <c:v>2026 Q3</c:v>
                </c:pt>
              </c:strCache>
            </c:strRef>
          </c:cat>
          <c:val>
            <c:numRef>
              <c:f>Capacity!$G$5:$G$8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DC-4B98-99BD-BFCD2233A6BE}"/>
            </c:ext>
          </c:extLst>
        </c:ser>
        <c:ser>
          <c:idx val="4"/>
          <c:order val="2"/>
          <c:tx>
            <c:strRef>
              <c:f>Capacity!$H$4</c:f>
              <c:strCache>
                <c:ptCount val="1"/>
                <c:pt idx="0">
                  <c:v>Operations: Security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Capacity!$A$5:$A$8</c:f>
              <c:strCache>
                <c:ptCount val="4"/>
                <c:pt idx="0">
                  <c:v>2023 Q1</c:v>
                </c:pt>
                <c:pt idx="1">
                  <c:v>2023 Q2</c:v>
                </c:pt>
                <c:pt idx="2">
                  <c:v>2026 Q2</c:v>
                </c:pt>
                <c:pt idx="3">
                  <c:v>2026 Q3</c:v>
                </c:pt>
              </c:strCache>
            </c:strRef>
          </c:cat>
          <c:val>
            <c:numRef>
              <c:f>Capacity!$H$5:$H$8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F-42D9-B55F-98A0EC659F94}"/>
            </c:ext>
          </c:extLst>
        </c:ser>
        <c:ser>
          <c:idx val="5"/>
          <c:order val="3"/>
          <c:tx>
            <c:strRef>
              <c:f>Capacity!$I$4</c:f>
              <c:strCache>
                <c:ptCount val="1"/>
                <c:pt idx="0">
                  <c:v>Operations: Effectiveness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Capacity!$A$5:$A$8</c:f>
              <c:strCache>
                <c:ptCount val="4"/>
                <c:pt idx="0">
                  <c:v>2023 Q1</c:v>
                </c:pt>
                <c:pt idx="1">
                  <c:v>2023 Q2</c:v>
                </c:pt>
                <c:pt idx="2">
                  <c:v>2026 Q2</c:v>
                </c:pt>
                <c:pt idx="3">
                  <c:v>2026 Q3</c:v>
                </c:pt>
              </c:strCache>
            </c:strRef>
          </c:cat>
          <c:val>
            <c:numRef>
              <c:f>Capacity!$I$5:$I$8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F-42D9-B55F-98A0EC659F94}"/>
            </c:ext>
          </c:extLst>
        </c:ser>
        <c:ser>
          <c:idx val="6"/>
          <c:order val="4"/>
          <c:tx>
            <c:strRef>
              <c:f>Capacity!$J$4</c:f>
              <c:strCache>
                <c:ptCount val="1"/>
                <c:pt idx="0">
                  <c:v>Usability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Capacity!$A$5:$A$8</c:f>
              <c:strCache>
                <c:ptCount val="4"/>
                <c:pt idx="0">
                  <c:v>2023 Q1</c:v>
                </c:pt>
                <c:pt idx="1">
                  <c:v>2023 Q2</c:v>
                </c:pt>
                <c:pt idx="2">
                  <c:v>2026 Q2</c:v>
                </c:pt>
                <c:pt idx="3">
                  <c:v>2026 Q3</c:v>
                </c:pt>
              </c:strCache>
            </c:strRef>
          </c:cat>
          <c:val>
            <c:numRef>
              <c:f>Capacity!$J$5:$J$8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FF-42D9-B55F-98A0EC659F94}"/>
            </c:ext>
          </c:extLst>
        </c:ser>
        <c:ser>
          <c:idx val="0"/>
          <c:order val="5"/>
          <c:tx>
            <c:strRef>
              <c:f>Capacity!$K$4</c:f>
              <c:strCache>
                <c:ptCount val="1"/>
                <c:pt idx="0">
                  <c:v>Performance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Capacity!$A$5:$A$8</c:f>
              <c:strCache>
                <c:ptCount val="4"/>
                <c:pt idx="0">
                  <c:v>2023 Q1</c:v>
                </c:pt>
                <c:pt idx="1">
                  <c:v>2023 Q2</c:v>
                </c:pt>
                <c:pt idx="2">
                  <c:v>2026 Q2</c:v>
                </c:pt>
                <c:pt idx="3">
                  <c:v>2026 Q3</c:v>
                </c:pt>
              </c:strCache>
            </c:strRef>
          </c:cat>
          <c:val>
            <c:numRef>
              <c:f>Capacity!$K$5:$K$8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09-4AE6-8EF4-2051DD602F08}"/>
            </c:ext>
          </c:extLst>
        </c:ser>
        <c:ser>
          <c:idx val="7"/>
          <c:order val="6"/>
          <c:tx>
            <c:strRef>
              <c:f>Capacity!$L$4</c:f>
              <c:strCache>
                <c:ptCount val="1"/>
                <c:pt idx="0">
                  <c:v>Functionality: Strategic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Capacity!$A$5:$A$8</c:f>
              <c:strCache>
                <c:ptCount val="4"/>
                <c:pt idx="0">
                  <c:v>2023 Q1</c:v>
                </c:pt>
                <c:pt idx="1">
                  <c:v>2023 Q2</c:v>
                </c:pt>
                <c:pt idx="2">
                  <c:v>2026 Q2</c:v>
                </c:pt>
                <c:pt idx="3">
                  <c:v>2026 Q3</c:v>
                </c:pt>
              </c:strCache>
            </c:strRef>
          </c:cat>
          <c:val>
            <c:numRef>
              <c:f>Capacity!$L$5:$L$8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09-4AE6-8EF4-2051DD602F08}"/>
            </c:ext>
          </c:extLst>
        </c:ser>
        <c:ser>
          <c:idx val="8"/>
          <c:order val="7"/>
          <c:tx>
            <c:strRef>
              <c:f>Capacity!$M$4</c:f>
              <c:strCache>
                <c:ptCount val="1"/>
                <c:pt idx="0">
                  <c:v>Not specified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Capacity!$A$5:$A$8</c:f>
              <c:strCache>
                <c:ptCount val="4"/>
                <c:pt idx="0">
                  <c:v>2023 Q1</c:v>
                </c:pt>
                <c:pt idx="1">
                  <c:v>2023 Q2</c:v>
                </c:pt>
                <c:pt idx="2">
                  <c:v>2026 Q2</c:v>
                </c:pt>
                <c:pt idx="3">
                  <c:v>2026 Q3</c:v>
                </c:pt>
              </c:strCache>
            </c:strRef>
          </c:cat>
          <c:val>
            <c:numRef>
              <c:f>Capacity!$M$5:$M$8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09-4AE6-8EF4-2051DD602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8456240"/>
        <c:axId val="1538454160"/>
      </c:barChart>
      <c:catAx>
        <c:axId val="153845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54160"/>
        <c:crosses val="autoZero"/>
        <c:auto val="1"/>
        <c:lblAlgn val="ctr"/>
        <c:lblOffset val="100"/>
        <c:noMultiLvlLbl val="0"/>
      </c:catAx>
      <c:valAx>
        <c:axId val="153845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5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13</xdr:row>
      <xdr:rowOff>0</xdr:rowOff>
    </xdr:from>
    <xdr:to>
      <xdr:col>18</xdr:col>
      <xdr:colOff>151562</xdr:colOff>
      <xdr:row>28</xdr:row>
      <xdr:rowOff>26770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1200150</xdr:colOff>
      <xdr:row>29</xdr:row>
      <xdr:rowOff>155574</xdr:rowOff>
    </xdr:from>
    <xdr:to>
      <xdr:col>23</xdr:col>
      <xdr:colOff>209550</xdr:colOff>
      <xdr:row>52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520C5D-8016-12CE-D535-E0E8E7C47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3" displayName="Table3" ref="A4:M11" totalsRowShown="0">
  <autoFilter ref="A4:M11" xr:uid="{00000000-0009-0000-0100-000002000000}"/>
  <tableColumns count="13">
    <tableColumn id="1" xr3:uid="{00000000-0010-0000-0000-000001000000}" name="Delivery"/>
    <tableColumn id="2" xr3:uid="{00000000-0010-0000-0000-000002000000}" name="Planned" dataDxfId="7">
      <calculatedColumnFormula>SUMIFS(EPICS_ESTIMATE, EPICS_PERIOD, $A5, EPICS_STATUS, "&lt;&gt;Done")</calculatedColumnFormula>
    </tableColumn>
    <tableColumn id="3" xr3:uid="{00000000-0010-0000-0000-000003000000}" name="Available">
      <calculatedColumnFormula>Parameters!I6</calculatedColumnFormula>
    </tableColumn>
    <tableColumn id="4" xr3:uid="{A0B7810D-02AD-4563-84FC-C5AB45C9F69A}" name="Done" dataDxfId="6">
      <calculatedColumnFormula>SUMIFS(EPICS_ESTIMATE, EPICS_PERIOD, $A5, EPICS_STATUS, "Done")</calculatedColumnFormula>
    </tableColumn>
    <tableColumn id="13" xr3:uid="{4396325F-6B3B-4FA3-9252-BDB13D7DB267}" name="Total" dataDxfId="5">
      <calculatedColumnFormula>SUM(Table3[[#This Row],[Done]], Table3[[#This Row],[Planned]])</calculatedColumnFormula>
    </tableColumn>
    <tableColumn id="5" xr3:uid="{420E4733-D818-4697-B4AC-49919F34E6A1}" name="Functionality: Tactical" dataDxfId="4">
      <calculatedColumnFormula>SUMIFS(EPICS_ESTIMATE, EPICS_PERIOD, $A5, EPICS_TYPE, F$4)</calculatedColumnFormula>
    </tableColumn>
    <tableColumn id="6" xr3:uid="{C298A470-F5E4-4C9D-A835-37621F5C7C5C}" name="Maintenance" dataDxfId="3">
      <calculatedColumnFormula>SUMIFS(EPICS_ESTIMATE, EPICS_PERIOD, $A5, EPICS_TYPE, G$4, EPICS_STATUS, "&lt;&gt;Done")</calculatedColumnFormula>
    </tableColumn>
    <tableColumn id="8" xr3:uid="{1E9537EA-C654-4C41-869E-4B20D36B1310}" name="Operations: Security" dataDxfId="2">
      <calculatedColumnFormula>SUMIFS(EPICS_ESTIMATE, EPICS_PERIOD, $A5, EPICS_TYPE, H$4, EPICS_STATUS, "&lt;&gt;Done")</calculatedColumnFormula>
    </tableColumn>
    <tableColumn id="11" xr3:uid="{AB5BDEA6-3CB3-4A95-AB00-2A8B4589EBDA}" name="Operations: Effectiveness">
      <calculatedColumnFormula>SUMIFS(EPICS_ESTIMATE, EPICS_PERIOD, $A5, EPICS_TYPE, I$4, EPICS_STATUS, "&lt;&gt;Done")</calculatedColumnFormula>
    </tableColumn>
    <tableColumn id="12" xr3:uid="{43175893-A88C-4A75-A227-8493825C6391}" name="Usability">
      <calculatedColumnFormula>SUMIFS(EPICS_ESTIMATE, EPICS_PERIOD, $A5, EPICS_TYPE, J$4, EPICS_STATUS, "&lt;&gt;Done")</calculatedColumnFormula>
    </tableColumn>
    <tableColumn id="10" xr3:uid="{38437634-015A-4968-B70A-73EC423821EB}" name="Performance">
      <calculatedColumnFormula>SUMIFS(EPICS_ESTIMATE, EPICS_PERIOD, $A5, EPICS_TYPE, K$4, EPICS_STATUS, "&lt;&gt;Done")</calculatedColumnFormula>
    </tableColumn>
    <tableColumn id="9" xr3:uid="{147563EA-0BC5-490E-A60D-F4734C5093BA}" name="Functionality: Strategic" dataDxfId="1">
      <calculatedColumnFormula>SUMIFS(EPICS_ESTIMATE, EPICS_PERIOD, $A5, EPICS_TYPE, L$4, EPICS_STATUS, "&lt;&gt;Done")</calculatedColumnFormula>
    </tableColumn>
    <tableColumn id="7" xr3:uid="{DC4CAD30-AA84-40FB-8366-4759F029E489}" name="Not specified" dataDxfId="0">
      <calculatedColumnFormula>Table3[[#This Row],[Total]]-SUM(F5:L5)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opLeftCell="C1" zoomScale="120" zoomScaleNormal="120" workbookViewId="0">
      <selection activeCell="I6" sqref="I6"/>
    </sheetView>
  </sheetViews>
  <sheetFormatPr defaultColWidth="8.53125" defaultRowHeight="14.25" x14ac:dyDescent="0.45"/>
  <cols>
    <col min="1" max="1" width="18.73046875" customWidth="1"/>
    <col min="2" max="2" width="16.19921875" customWidth="1"/>
    <col min="3" max="3" width="15" customWidth="1"/>
    <col min="4" max="4" width="14.265625" customWidth="1"/>
    <col min="5" max="5" width="25.9296875" bestFit="1" customWidth="1"/>
    <col min="6" max="6" width="22.06640625" bestFit="1" customWidth="1"/>
    <col min="7" max="8" width="11.46484375" customWidth="1"/>
    <col min="9" max="9" width="14.19921875" customWidth="1"/>
    <col min="10" max="10" width="23.796875" customWidth="1"/>
  </cols>
  <sheetData>
    <row r="1" spans="1:13" ht="18" x14ac:dyDescent="0.55000000000000004">
      <c r="A1" s="13" t="s">
        <v>0</v>
      </c>
      <c r="B1" s="13"/>
      <c r="C1" s="13"/>
      <c r="D1" s="13"/>
    </row>
    <row r="2" spans="1:13" ht="14.25" customHeight="1" x14ac:dyDescent="0.45">
      <c r="A2" s="14" t="s">
        <v>1</v>
      </c>
      <c r="B2" s="14"/>
      <c r="C2" s="14"/>
      <c r="D2" s="14"/>
    </row>
    <row r="4" spans="1:13" ht="15" customHeight="1" x14ac:dyDescent="0.45">
      <c r="A4" s="12" t="s">
        <v>2</v>
      </c>
      <c r="B4" s="12" t="s">
        <v>35</v>
      </c>
      <c r="C4" s="12" t="s">
        <v>3</v>
      </c>
      <c r="D4" s="12" t="s">
        <v>4</v>
      </c>
      <c r="E4" s="12" t="s">
        <v>5</v>
      </c>
      <c r="F4" s="12" t="s">
        <v>37</v>
      </c>
      <c r="G4" s="12" t="s">
        <v>36</v>
      </c>
      <c r="H4" s="12" t="s">
        <v>6</v>
      </c>
      <c r="I4" s="12" t="s">
        <v>7</v>
      </c>
      <c r="J4" s="1" t="s">
        <v>8</v>
      </c>
    </row>
    <row r="5" spans="1:13" x14ac:dyDescent="0.45">
      <c r="A5" s="12"/>
      <c r="B5" s="12"/>
      <c r="C5" s="12"/>
      <c r="D5" s="12"/>
      <c r="E5" s="12"/>
      <c r="F5" s="12"/>
      <c r="G5" s="12"/>
      <c r="H5" s="12"/>
      <c r="I5" s="12"/>
      <c r="J5" s="1"/>
    </row>
    <row r="6" spans="1:13" x14ac:dyDescent="0.45">
      <c r="A6" s="3" t="s">
        <v>41</v>
      </c>
      <c r="B6" s="4">
        <v>45931</v>
      </c>
      <c r="C6" s="4">
        <v>46022</v>
      </c>
      <c r="D6" s="5">
        <v>0.7</v>
      </c>
      <c r="E6" s="6">
        <f>(C6-B6)/7/2</f>
        <v>6.5</v>
      </c>
      <c r="F6" s="6">
        <v>0.5</v>
      </c>
      <c r="G6" s="6">
        <f>E6-F6</f>
        <v>6</v>
      </c>
      <c r="H6" s="7">
        <v>180</v>
      </c>
      <c r="I6" s="7">
        <f>H6*G6*D6</f>
        <v>756</v>
      </c>
      <c r="J6" s="2"/>
    </row>
    <row r="7" spans="1:13" x14ac:dyDescent="0.45">
      <c r="A7" s="3" t="s">
        <v>43</v>
      </c>
      <c r="B7" s="4">
        <f>C6</f>
        <v>46022</v>
      </c>
      <c r="C7" s="4">
        <v>46112</v>
      </c>
      <c r="D7" s="5">
        <v>0.6</v>
      </c>
      <c r="E7" s="6">
        <f t="shared" ref="E7:E9" si="0">(C7-B7)/7/2</f>
        <v>6.4285714285714288</v>
      </c>
      <c r="F7" s="6">
        <v>0</v>
      </c>
      <c r="G7" s="6">
        <f t="shared" ref="G7:G9" si="1">E7-F7</f>
        <v>6.4285714285714288</v>
      </c>
      <c r="H7" s="7">
        <v>200</v>
      </c>
      <c r="I7" s="7">
        <f t="shared" ref="I7:I9" si="2">H7*G7*D7</f>
        <v>771.42857142857144</v>
      </c>
      <c r="J7" s="2"/>
      <c r="M7" s="10" t="s">
        <v>34</v>
      </c>
    </row>
    <row r="8" spans="1:13" x14ac:dyDescent="0.45">
      <c r="A8" s="3" t="s">
        <v>44</v>
      </c>
      <c r="B8" s="4">
        <f>C7</f>
        <v>46112</v>
      </c>
      <c r="C8" s="4">
        <v>46203</v>
      </c>
      <c r="D8" s="5">
        <v>0.5</v>
      </c>
      <c r="E8" s="6">
        <f t="shared" si="0"/>
        <v>6.5</v>
      </c>
      <c r="F8" s="6">
        <v>0.5</v>
      </c>
      <c r="G8" s="6">
        <f t="shared" si="1"/>
        <v>6</v>
      </c>
      <c r="H8" s="7">
        <v>200</v>
      </c>
      <c r="I8" s="7">
        <f t="shared" si="2"/>
        <v>600</v>
      </c>
      <c r="J8" s="2"/>
    </row>
    <row r="9" spans="1:13" x14ac:dyDescent="0.45">
      <c r="A9" s="3" t="s">
        <v>45</v>
      </c>
      <c r="B9" s="4">
        <f t="shared" ref="B9" si="3">C8</f>
        <v>46203</v>
      </c>
      <c r="C9" s="4">
        <v>46295</v>
      </c>
      <c r="D9" s="5">
        <v>0.5</v>
      </c>
      <c r="E9" s="6">
        <f t="shared" si="0"/>
        <v>6.5714285714285712</v>
      </c>
      <c r="F9" s="6">
        <v>0</v>
      </c>
      <c r="G9" s="6">
        <f t="shared" si="1"/>
        <v>6.5714285714285712</v>
      </c>
      <c r="H9" s="7">
        <v>200</v>
      </c>
      <c r="I9" s="7">
        <f t="shared" si="2"/>
        <v>657.14285714285711</v>
      </c>
      <c r="J9" s="2"/>
    </row>
    <row r="10" spans="1:13" x14ac:dyDescent="0.45">
      <c r="A10" s="3" t="s">
        <v>42</v>
      </c>
      <c r="B10" s="4">
        <f t="shared" ref="B10" si="4">C9</f>
        <v>46295</v>
      </c>
      <c r="C10" s="4">
        <v>46387</v>
      </c>
      <c r="D10" s="5">
        <v>0.5</v>
      </c>
      <c r="E10" s="6">
        <f t="shared" ref="E10" si="5">(C10-B10)/7/2</f>
        <v>6.5714285714285712</v>
      </c>
      <c r="F10" s="6">
        <v>0.5</v>
      </c>
      <c r="G10" s="6">
        <f t="shared" ref="G10" si="6">E10-F10</f>
        <v>6.0714285714285712</v>
      </c>
      <c r="H10" s="7">
        <v>200</v>
      </c>
      <c r="I10" s="7">
        <f t="shared" ref="I10" si="7">H10*G10*D10</f>
        <v>607.14285714285711</v>
      </c>
      <c r="J10" s="2"/>
    </row>
  </sheetData>
  <mergeCells count="11">
    <mergeCell ref="H4:H5"/>
    <mergeCell ref="I4:I5"/>
    <mergeCell ref="A1:D1"/>
    <mergeCell ref="A2:D2"/>
    <mergeCell ref="A4:A5"/>
    <mergeCell ref="C4:C5"/>
    <mergeCell ref="D4:D5"/>
    <mergeCell ref="E4:E5"/>
    <mergeCell ref="B4:B5"/>
    <mergeCell ref="F4:F5"/>
    <mergeCell ref="G4:G5"/>
  </mergeCells>
  <phoneticPr fontId="6" type="noConversion"/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M11"/>
  <sheetViews>
    <sheetView topLeftCell="F1" zoomScale="115" zoomScaleNormal="115" workbookViewId="0">
      <selection activeCell="D5" sqref="D5:D7"/>
    </sheetView>
  </sheetViews>
  <sheetFormatPr defaultColWidth="8.53125" defaultRowHeight="14.25" x14ac:dyDescent="0.45"/>
  <cols>
    <col min="1" max="1" width="22.796875" customWidth="1"/>
    <col min="2" max="2" width="12.53125" customWidth="1"/>
    <col min="3" max="5" width="15.46484375" customWidth="1"/>
    <col min="6" max="6" width="32.53125" customWidth="1"/>
    <col min="7" max="12" width="15.46484375" customWidth="1"/>
    <col min="13" max="13" width="26.19921875" customWidth="1"/>
  </cols>
  <sheetData>
    <row r="4" spans="1:13" x14ac:dyDescent="0.45">
      <c r="A4" t="s">
        <v>11</v>
      </c>
      <c r="B4" t="s">
        <v>12</v>
      </c>
      <c r="C4" t="s">
        <v>13</v>
      </c>
      <c r="D4" t="s">
        <v>24</v>
      </c>
      <c r="E4" t="s">
        <v>38</v>
      </c>
      <c r="F4" t="s">
        <v>31</v>
      </c>
      <c r="G4" t="s">
        <v>25</v>
      </c>
      <c r="H4" t="s">
        <v>29</v>
      </c>
      <c r="I4" t="s">
        <v>30</v>
      </c>
      <c r="J4" t="s">
        <v>32</v>
      </c>
      <c r="K4" t="s">
        <v>28</v>
      </c>
      <c r="L4" t="s">
        <v>27</v>
      </c>
      <c r="M4" t="s">
        <v>26</v>
      </c>
    </row>
    <row r="5" spans="1:13" x14ac:dyDescent="0.45">
      <c r="A5" s="8" t="s">
        <v>9</v>
      </c>
      <c r="B5">
        <f t="shared" ref="B5:B11" si="0">SUMIFS(EPICS_ESTIMATE, EPICS_PERIOD, $A5, EPICS_STATUS, "&lt;&gt;Done")</f>
        <v>0</v>
      </c>
      <c r="C5" s="9">
        <f>Parameters!I6</f>
        <v>756</v>
      </c>
      <c r="D5">
        <f t="shared" ref="D5:D11" si="1">SUMIFS(EPICS_ESTIMATE, EPICS_PERIOD, $A5, EPICS_STATUS, "Done")</f>
        <v>0</v>
      </c>
      <c r="E5" s="11">
        <f>SUM(Table3[[#This Row],[Done]], Table3[[#This Row],[Planned]])</f>
        <v>0</v>
      </c>
      <c r="F5">
        <f t="shared" ref="F5:L8" si="2">SUMIFS(EPICS_ESTIMATE, EPICS_PERIOD, $A5, EPICS_TYPE, F$4)</f>
        <v>0</v>
      </c>
      <c r="G5">
        <f t="shared" si="2"/>
        <v>0</v>
      </c>
      <c r="H5">
        <f t="shared" si="2"/>
        <v>0</v>
      </c>
      <c r="I5">
        <f t="shared" si="2"/>
        <v>0</v>
      </c>
      <c r="J5">
        <f t="shared" si="2"/>
        <v>0</v>
      </c>
      <c r="K5">
        <f t="shared" si="2"/>
        <v>0</v>
      </c>
      <c r="L5">
        <f t="shared" si="2"/>
        <v>0</v>
      </c>
      <c r="M5">
        <f>Table3[[#This Row],[Total]]-SUM(F5:L5)</f>
        <v>0</v>
      </c>
    </row>
    <row r="6" spans="1:13" x14ac:dyDescent="0.45">
      <c r="A6" s="8" t="s">
        <v>10</v>
      </c>
      <c r="B6">
        <f t="shared" si="0"/>
        <v>0</v>
      </c>
      <c r="C6" s="9">
        <f>Parameters!I7</f>
        <v>771.42857142857144</v>
      </c>
      <c r="D6">
        <f t="shared" si="1"/>
        <v>0</v>
      </c>
      <c r="E6" s="11">
        <f>SUM(Table3[[#This Row],[Done]], Table3[[#This Row],[Planned]])</f>
        <v>0</v>
      </c>
      <c r="F6">
        <f t="shared" si="2"/>
        <v>0</v>
      </c>
      <c r="G6">
        <f t="shared" si="2"/>
        <v>0</v>
      </c>
      <c r="H6">
        <f t="shared" si="2"/>
        <v>0</v>
      </c>
      <c r="I6">
        <f t="shared" si="2"/>
        <v>0</v>
      </c>
      <c r="J6">
        <f t="shared" si="2"/>
        <v>0</v>
      </c>
      <c r="K6">
        <f t="shared" si="2"/>
        <v>0</v>
      </c>
      <c r="L6">
        <f t="shared" si="2"/>
        <v>0</v>
      </c>
      <c r="M6">
        <f>Table3[[#This Row],[Total]]-SUM(F6:L6)</f>
        <v>0</v>
      </c>
    </row>
    <row r="7" spans="1:13" x14ac:dyDescent="0.45">
      <c r="A7" s="8" t="str">
        <f>Parameters!A8</f>
        <v>2026 Q2</v>
      </c>
      <c r="B7">
        <f t="shared" si="0"/>
        <v>0</v>
      </c>
      <c r="C7" s="9">
        <f>Parameters!I8</f>
        <v>600</v>
      </c>
      <c r="D7">
        <f t="shared" si="1"/>
        <v>0</v>
      </c>
      <c r="E7" s="11">
        <f>SUM(Table3[[#This Row],[Done]], Table3[[#This Row],[Planned]])</f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>Table3[[#This Row],[Total]]-SUM(F7:L7)</f>
        <v>0</v>
      </c>
    </row>
    <row r="8" spans="1:13" x14ac:dyDescent="0.45">
      <c r="A8" s="8" t="str">
        <f>Parameters!A9</f>
        <v>2026 Q3</v>
      </c>
      <c r="B8">
        <f t="shared" si="0"/>
        <v>0</v>
      </c>
      <c r="C8" s="9">
        <f>Parameters!I9</f>
        <v>657.14285714285711</v>
      </c>
      <c r="D8">
        <f t="shared" si="1"/>
        <v>0</v>
      </c>
      <c r="E8" s="11">
        <f>SUM(Table3[[#This Row],[Done]], Table3[[#This Row],[Planned]])</f>
        <v>0</v>
      </c>
      <c r="F8">
        <f t="shared" si="2"/>
        <v>0</v>
      </c>
      <c r="G8">
        <f t="shared" si="2"/>
        <v>0</v>
      </c>
      <c r="H8">
        <f t="shared" si="2"/>
        <v>0</v>
      </c>
      <c r="I8">
        <f t="shared" si="2"/>
        <v>0</v>
      </c>
      <c r="J8">
        <f t="shared" si="2"/>
        <v>0</v>
      </c>
      <c r="K8">
        <f t="shared" si="2"/>
        <v>0</v>
      </c>
      <c r="L8">
        <f t="shared" si="2"/>
        <v>0</v>
      </c>
      <c r="M8">
        <f>Table3[[#This Row],[Total]]-SUM(F8:L8)</f>
        <v>0</v>
      </c>
    </row>
    <row r="9" spans="1:13" x14ac:dyDescent="0.45">
      <c r="A9" s="8" t="s">
        <v>39</v>
      </c>
      <c r="B9">
        <f t="shared" si="0"/>
        <v>0</v>
      </c>
      <c r="C9" s="9">
        <f>Parameters!I10</f>
        <v>607.14285714285711</v>
      </c>
      <c r="D9">
        <f t="shared" si="1"/>
        <v>0</v>
      </c>
      <c r="E9" s="11">
        <f>SUM(Table3[[#This Row],[Done]], Table3[[#This Row],[Planned]])</f>
        <v>0</v>
      </c>
      <c r="F9">
        <f>SUMIFS(EPICS_ESTIMATE, EPICS_PERIOD, $A9, EPICS_TYPE, F$4)</f>
        <v>0</v>
      </c>
      <c r="G9">
        <f t="shared" ref="G9:L10" si="3">SUMIFS(EPICS_ESTIMATE, EPICS_PERIOD, $A9, EPICS_TYPE, G$4, EPICS_STATUS, "&lt;&gt;Done")</f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>Table3[[#This Row],[Total]]-SUM(F9:L9)</f>
        <v>0</v>
      </c>
    </row>
    <row r="10" spans="1:13" x14ac:dyDescent="0.45">
      <c r="A10" s="8" t="s">
        <v>40</v>
      </c>
      <c r="B10">
        <f t="shared" si="0"/>
        <v>0</v>
      </c>
      <c r="C10" s="9">
        <f>Parameters!I10</f>
        <v>607.14285714285711</v>
      </c>
      <c r="D10">
        <f t="shared" si="1"/>
        <v>0</v>
      </c>
      <c r="E10" s="11">
        <f>SUM(Table3[[#This Row],[Done]], Table3[[#This Row],[Planned]])</f>
        <v>0</v>
      </c>
      <c r="F10">
        <f>SUMIFS(EPICS_ESTIMATE, EPICS_PERIOD, $A10, EPICS_TYPE, F$4)</f>
        <v>0</v>
      </c>
      <c r="G10">
        <f t="shared" si="3"/>
        <v>0</v>
      </c>
      <c r="H10">
        <f t="shared" si="3"/>
        <v>0</v>
      </c>
      <c r="I10">
        <f t="shared" si="3"/>
        <v>0</v>
      </c>
      <c r="J10">
        <f t="shared" si="3"/>
        <v>0</v>
      </c>
      <c r="K10">
        <f t="shared" si="3"/>
        <v>0</v>
      </c>
      <c r="L10">
        <f t="shared" si="3"/>
        <v>0</v>
      </c>
      <c r="M10">
        <f>Table3[[#This Row],[Total]]-SUM(F10:L10)</f>
        <v>0</v>
      </c>
    </row>
    <row r="11" spans="1:13" x14ac:dyDescent="0.45">
      <c r="A11" s="8" t="e">
        <f>Parameters!#REF!</f>
        <v>#REF!</v>
      </c>
      <c r="B11">
        <f t="shared" si="0"/>
        <v>0</v>
      </c>
      <c r="C11" t="e">
        <f>Parameters!#REF!</f>
        <v>#REF!</v>
      </c>
      <c r="D11">
        <f t="shared" si="1"/>
        <v>0</v>
      </c>
      <c r="E11" s="11">
        <f>SUM(Table3[[#This Row],[Done]], Table3[[#This Row],[Planned]])</f>
        <v>0</v>
      </c>
      <c r="F11">
        <f>SUMIFS(EPICS_ESTIMATE, EPICS_PERIOD, $A11, EPICS_TYPE, F$4)</f>
        <v>0</v>
      </c>
      <c r="G11">
        <f t="shared" ref="G11:L11" si="4">SUMIFS(EPICS_ESTIMATE, EPICS_PERIOD, $A11, EPICS_TYPE, G$4, EPICS_STATUS, "&lt;&gt;Done")</f>
        <v>0</v>
      </c>
      <c r="H11">
        <f t="shared" si="4"/>
        <v>0</v>
      </c>
      <c r="I11">
        <f t="shared" si="4"/>
        <v>0</v>
      </c>
      <c r="J11">
        <f t="shared" si="4"/>
        <v>0</v>
      </c>
      <c r="K11">
        <f t="shared" si="4"/>
        <v>0</v>
      </c>
      <c r="L11">
        <f t="shared" si="4"/>
        <v>0</v>
      </c>
      <c r="M11">
        <f>Table3[[#This Row],[Total]]-SUM(F11:L11)</f>
        <v>0</v>
      </c>
    </row>
  </sheetData>
  <pageMargins left="0.7" right="0.7" top="0.75" bottom="0.75" header="0.511811023622047" footer="0.511811023622047"/>
  <pageSetup paperSize="9" orientation="portrait" horizontalDpi="300" verticalDpi="3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C3D3-F51C-4A1C-8876-FB0FD1045D79}">
  <dimension ref="A1:L1"/>
  <sheetViews>
    <sheetView tabSelected="1" workbookViewId="0">
      <selection activeCell="A2" sqref="A2:XFD518"/>
    </sheetView>
  </sheetViews>
  <sheetFormatPr defaultRowHeight="14.25" x14ac:dyDescent="0.45"/>
  <cols>
    <col min="1" max="1" width="42.6640625" customWidth="1"/>
    <col min="2" max="2" width="26.6640625" customWidth="1"/>
    <col min="3" max="3" width="53.33203125" customWidth="1"/>
    <col min="4" max="4" width="100.265625" customWidth="1"/>
    <col min="5" max="5" width="17.06640625" customWidth="1"/>
    <col min="6" max="6" width="10.6640625" customWidth="1"/>
    <col min="7" max="7" width="48" customWidth="1"/>
    <col min="8" max="8" width="7.46484375" customWidth="1"/>
    <col min="9" max="9" width="10.6640625" customWidth="1"/>
    <col min="10" max="10" width="37.33203125" customWidth="1"/>
    <col min="11" max="11" width="10.6640625" customWidth="1"/>
  </cols>
  <sheetData>
    <row r="1" spans="1:12" x14ac:dyDescent="0.45">
      <c r="A1" t="s">
        <v>22</v>
      </c>
      <c r="B1" t="s">
        <v>14</v>
      </c>
      <c r="C1" t="s">
        <v>15</v>
      </c>
      <c r="D1" t="s">
        <v>16</v>
      </c>
      <c r="E1" t="s">
        <v>17</v>
      </c>
      <c r="F1" t="s">
        <v>21</v>
      </c>
      <c r="G1" t="s">
        <v>33</v>
      </c>
      <c r="H1" t="s">
        <v>18</v>
      </c>
      <c r="I1" t="s">
        <v>19</v>
      </c>
      <c r="J1" t="s">
        <v>20</v>
      </c>
      <c r="K1" t="s">
        <v>23</v>
      </c>
      <c r="L1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Parameters</vt:lpstr>
      <vt:lpstr>Capacity</vt:lpstr>
      <vt:lpstr>GITHUB_EPICS</vt:lpstr>
      <vt:lpstr>EPICS_ESTIMATE</vt:lpstr>
      <vt:lpstr>EPICS_PERIOD</vt:lpstr>
      <vt:lpstr>EPICS_STATUS</vt:lpstr>
      <vt:lpstr>EPICS_TYPE</vt:lpstr>
      <vt:lpstr>PERIODS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Neil Smyth</dc:creator>
  <dc:description/>
  <cp:lastModifiedBy>Neil Smyth</cp:lastModifiedBy>
  <cp:revision>1</cp:revision>
  <dcterms:created xsi:type="dcterms:W3CDTF">2023-01-30T14:25:48Z</dcterms:created>
  <dcterms:modified xsi:type="dcterms:W3CDTF">2025-10-04T14:55:25Z</dcterms:modified>
  <dc:language>en-US</dc:language>
</cp:coreProperties>
</file>