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eil\Documents\DevAlkemio\github-api\"/>
    </mc:Choice>
  </mc:AlternateContent>
  <xr:revisionPtr revIDLastSave="0" documentId="13_ncr:1_{C4BD2F31-2295-414A-B9E2-30D358FDF1FE}" xr6:coauthVersionLast="47" xr6:coauthVersionMax="47" xr10:uidLastSave="{00000000-0000-0000-0000-000000000000}"/>
  <bookViews>
    <workbookView xWindow="-98" yWindow="-98" windowWidth="21795" windowHeight="12975" tabRatio="500" xr2:uid="{00000000-000D-0000-FFFF-FFFF00000000}"/>
  </bookViews>
  <sheets>
    <sheet name="Parameters" sheetId="1" r:id="rId1"/>
    <sheet name="Capacity" sheetId="2" r:id="rId2"/>
    <sheet name="GITHUB_EPICS" sheetId="4" r:id="rId3"/>
  </sheets>
  <definedNames>
    <definedName name="_xlnm._FilterDatabase" localSheetId="2" hidden="1">GITHUB_EPICS!$A$1:$L$157</definedName>
    <definedName name="EPICS_ESTIMATE">GITHUB_EPICS!$F$2:$F$199</definedName>
    <definedName name="EPICS_PERIOD">GITHUB_EPICS!$G$2:$G$199</definedName>
    <definedName name="EPICS_STATUS">GITHUB_EPICS!$D$2:$D$199</definedName>
    <definedName name="EPICS_TYPE">GITHUB_EPICS!$E$2:$E$199</definedName>
    <definedName name="PERIODS">Parameters!$A$6:$A$44</definedName>
    <definedName name="PLANNING">Parameters!$A$6:$J$10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7" i="1" l="1"/>
  <c r="B9" i="2"/>
  <c r="D9" i="2"/>
  <c r="E9" i="2" s="1"/>
  <c r="F9" i="2"/>
  <c r="G9" i="2"/>
  <c r="H9" i="2"/>
  <c r="I9" i="2"/>
  <c r="J9" i="2"/>
  <c r="K9" i="2"/>
  <c r="L9" i="2"/>
  <c r="B10" i="2"/>
  <c r="D10" i="2"/>
  <c r="F10" i="2"/>
  <c r="G10" i="2"/>
  <c r="H10" i="2"/>
  <c r="I10" i="2"/>
  <c r="J10" i="2"/>
  <c r="K10" i="2"/>
  <c r="L10" i="2"/>
  <c r="B10" i="1"/>
  <c r="E10" i="1" s="1"/>
  <c r="G10" i="1" s="1"/>
  <c r="I10" i="1" s="1"/>
  <c r="C9" i="2" s="1"/>
  <c r="G7" i="1"/>
  <c r="F5" i="2"/>
  <c r="G5" i="2"/>
  <c r="H5" i="2"/>
  <c r="I5" i="2"/>
  <c r="J5" i="2"/>
  <c r="K5" i="2"/>
  <c r="L5" i="2"/>
  <c r="G6" i="2"/>
  <c r="H6" i="2"/>
  <c r="I6" i="2"/>
  <c r="J6" i="2"/>
  <c r="K6" i="2"/>
  <c r="L6" i="2"/>
  <c r="F6" i="2"/>
  <c r="E7" i="1"/>
  <c r="B8" i="1"/>
  <c r="E8" i="1" s="1"/>
  <c r="G8" i="1" s="1"/>
  <c r="I8" i="1" s="1"/>
  <c r="E6" i="1"/>
  <c r="G6" i="1" s="1"/>
  <c r="I6" i="1" s="1"/>
  <c r="B9" i="1"/>
  <c r="E9" i="1" s="1"/>
  <c r="B5" i="2"/>
  <c r="D6" i="2"/>
  <c r="D5" i="2"/>
  <c r="B6" i="2"/>
  <c r="A11" i="2"/>
  <c r="H11" i="2" s="1"/>
  <c r="A8" i="2"/>
  <c r="H8" i="2" s="1"/>
  <c r="A7" i="2"/>
  <c r="F7" i="2" s="1"/>
  <c r="C10" i="2" l="1"/>
  <c r="E10" i="2"/>
  <c r="M10" i="2" s="1"/>
  <c r="M9" i="2"/>
  <c r="E6" i="2"/>
  <c r="M6" i="2" s="1"/>
  <c r="E5" i="2"/>
  <c r="M5" i="2" s="1"/>
  <c r="J8" i="2"/>
  <c r="F8" i="2"/>
  <c r="G8" i="2"/>
  <c r="L7" i="2"/>
  <c r="J7" i="2"/>
  <c r="L8" i="2"/>
  <c r="K8" i="2"/>
  <c r="I7" i="2"/>
  <c r="I8" i="2"/>
  <c r="H7" i="2"/>
  <c r="F11" i="2"/>
  <c r="G7" i="2"/>
  <c r="K7" i="2"/>
  <c r="C5" i="2"/>
  <c r="C7" i="2"/>
  <c r="I7" i="1"/>
  <c r="C6" i="2" s="1"/>
  <c r="C11" i="2"/>
  <c r="G9" i="1"/>
  <c r="I9" i="1" s="1"/>
  <c r="C8" i="2" s="1"/>
  <c r="D7" i="2"/>
  <c r="D11" i="2"/>
  <c r="D8" i="2"/>
  <c r="J11" i="2"/>
  <c r="I11" i="2"/>
  <c r="K11" i="2"/>
  <c r="B11" i="2"/>
  <c r="G11" i="2"/>
  <c r="B8" i="2"/>
  <c r="L11" i="2"/>
  <c r="B7" i="2"/>
  <c r="E11" i="2" l="1"/>
  <c r="M11" i="2" s="1"/>
  <c r="E8" i="2"/>
  <c r="M8" i="2" s="1"/>
  <c r="E7" i="2"/>
  <c r="M7" i="2" s="1"/>
</calcChain>
</file>

<file path=xl/sharedStrings.xml><?xml version="1.0" encoding="utf-8"?>
<sst xmlns="http://schemas.openxmlformats.org/spreadsheetml/2006/main" count="2829" uniqueCount="762">
  <si>
    <t>Capacity planning for Alkemio</t>
  </si>
  <si>
    <t>This tab provides teams' velocity and overall releases capacity overview based on the current version of 2015 release calendar.</t>
  </si>
  <si>
    <t>Time Period</t>
  </si>
  <si>
    <t>Time Period End</t>
  </si>
  <si>
    <t>Features allocation, %</t>
  </si>
  <si>
    <t>Development Sprints available</t>
  </si>
  <si>
    <t>Points / sprint</t>
  </si>
  <si>
    <t>Capacity</t>
  </si>
  <si>
    <t>Comments</t>
  </si>
  <si>
    <t>2023 Q1</t>
  </si>
  <si>
    <t>2023 Q2</t>
  </si>
  <si>
    <t>Delivery</t>
  </si>
  <si>
    <t>Planned</t>
  </si>
  <si>
    <t>Available</t>
  </si>
  <si>
    <t>Repository</t>
  </si>
  <si>
    <t>Labels</t>
  </si>
  <si>
    <t>Title</t>
  </si>
  <si>
    <t>Status</t>
  </si>
  <si>
    <t>Period</t>
  </si>
  <si>
    <t>EpicPoints</t>
  </si>
  <si>
    <t>Partner</t>
  </si>
  <si>
    <t>Sprint</t>
  </si>
  <si>
    <t>Assignees</t>
  </si>
  <si>
    <t>SprintPoints</t>
  </si>
  <si>
    <t>alkemio</t>
  </si>
  <si>
    <t>Epic</t>
  </si>
  <si>
    <t>Calendar Events per community</t>
  </si>
  <si>
    <t>Done</t>
  </si>
  <si>
    <t>User to user communication via notifications</t>
  </si>
  <si>
    <t>In progress</t>
  </si>
  <si>
    <t>Aleksandar Stojanovic</t>
  </si>
  <si>
    <t>Reporting: Northstar Metric</t>
  </si>
  <si>
    <t>Svetoslav Petkov</t>
  </si>
  <si>
    <t>UX Refinements: Round 2</t>
  </si>
  <si>
    <t>Andrew Pazniak</t>
  </si>
  <si>
    <t>UX Refinements - Round 3</t>
  </si>
  <si>
    <t xml:space="preserve">Capacity Planning </t>
  </si>
  <si>
    <t>Maintenance</t>
  </si>
  <si>
    <t>Being defined</t>
  </si>
  <si>
    <t>Calendar Events V2</t>
  </si>
  <si>
    <t>Being elaborated</t>
  </si>
  <si>
    <t>2023-02-14</t>
  </si>
  <si>
    <t>infrastructure-operations</t>
  </si>
  <si>
    <t>operations,Epic,Infrastructure</t>
  </si>
  <si>
    <t>Security: Authentication via Microsoft identities - basic</t>
  </si>
  <si>
    <t>Community forum on the platform</t>
  </si>
  <si>
    <t>Valentin Yanakiev</t>
  </si>
  <si>
    <t>Handling of Time</t>
  </si>
  <si>
    <t>UX Refinements - Round 4</t>
  </si>
  <si>
    <t>Contributor visibility</t>
  </si>
  <si>
    <t>2023 Q3</t>
  </si>
  <si>
    <t>2023 Q4</t>
  </si>
  <si>
    <t>Not specified</t>
  </si>
  <si>
    <t xml:space="preserve">Hub visibility for unauthorized users </t>
  </si>
  <si>
    <t>server</t>
  </si>
  <si>
    <t>Epic,server</t>
  </si>
  <si>
    <t>Error Handling: Presentation improvements</t>
  </si>
  <si>
    <t>Icebox</t>
  </si>
  <si>
    <t>Performance: Dataloaders / field resolvers</t>
  </si>
  <si>
    <t>Security: Kubernetes hardening</t>
  </si>
  <si>
    <t>Security: Control of provider per organization</t>
  </si>
  <si>
    <t>Infrastructure: Maintainability</t>
  </si>
  <si>
    <t>Login Refinements / Kratos</t>
  </si>
  <si>
    <t>hub</t>
  </si>
  <si>
    <t>Epic,operations</t>
  </si>
  <si>
    <t>Security: Client code execution / injection</t>
  </si>
  <si>
    <t>Grouping of Hubs by theme</t>
  </si>
  <si>
    <t>Denise Larsson</t>
  </si>
  <si>
    <t>Ecosystem Analytics: prototype</t>
  </si>
  <si>
    <t>Carlos Cano</t>
  </si>
  <si>
    <t>Matrix adapter as a separate service</t>
  </si>
  <si>
    <t>Private challenges</t>
  </si>
  <si>
    <t>Neil Smyth</t>
  </si>
  <si>
    <t>Functionality: Strategic</t>
  </si>
  <si>
    <t>Performance</t>
  </si>
  <si>
    <t>Envision</t>
  </si>
  <si>
    <t>Domain model: Naming alignment</t>
  </si>
  <si>
    <t>Domain Model: Profiles</t>
  </si>
  <si>
    <t>Kratos 0.11 Update</t>
  </si>
  <si>
    <t>Callout: single canvas type</t>
  </si>
  <si>
    <t>Custom URL for Demo Hubs on production</t>
  </si>
  <si>
    <t>2023-02-28</t>
  </si>
  <si>
    <t>Demo environment data migration + retirement</t>
  </si>
  <si>
    <t>Landing page v1</t>
  </si>
  <si>
    <t>Operations: Security</t>
  </si>
  <si>
    <t>Search++: Within a Hub, Contributions, UI</t>
  </si>
  <si>
    <t>2023-03-14</t>
  </si>
  <si>
    <t>Operations: Effectiveness</t>
  </si>
  <si>
    <t>Choral Explanations</t>
  </si>
  <si>
    <t>TIP</t>
  </si>
  <si>
    <t>Landing page: refinements + maintainability</t>
  </si>
  <si>
    <t>Release mgmt: release notes + changelog</t>
  </si>
  <si>
    <t>security,Epic</t>
  </si>
  <si>
    <t>Security: Secret management</t>
  </si>
  <si>
    <t>Operational security analysis</t>
  </si>
  <si>
    <t>Functionality: Tactical</t>
  </si>
  <si>
    <t>Usability</t>
  </si>
  <si>
    <t>Library: Innovation Pack management</t>
  </si>
  <si>
    <t>Branding at platform level</t>
  </si>
  <si>
    <t>client-web</t>
  </si>
  <si>
    <t>Epic,A: Community</t>
  </si>
  <si>
    <t>Search results validated in service</t>
  </si>
  <si>
    <t>Sharing: social media</t>
  </si>
  <si>
    <t xml:space="preserve">Preference for aggregated of notifications </t>
  </si>
  <si>
    <t>User to user messaging via message box</t>
  </si>
  <si>
    <t>Epic,QA</t>
  </si>
  <si>
    <t>Performance + scalability testing</t>
  </si>
  <si>
    <t>Callouts: Sorting control</t>
  </si>
  <si>
    <t>Search in Contribute page</t>
  </si>
  <si>
    <t>Milestone</t>
  </si>
  <si>
    <t>Core Capabilities</t>
  </si>
  <si>
    <t>Improved content editing</t>
  </si>
  <si>
    <t>Hide / turn functionalities off</t>
  </si>
  <si>
    <t>Integration of other online tools</t>
  </si>
  <si>
    <t>Epic,Security</t>
  </si>
  <si>
    <t>Security headers hardening</t>
  </si>
  <si>
    <t>Community Application Questions</t>
  </si>
  <si>
    <t>Client: Developer documentation, roadmap</t>
  </si>
  <si>
    <t>Epic,client</t>
  </si>
  <si>
    <t>TNO</t>
  </si>
  <si>
    <t>epic,client</t>
  </si>
  <si>
    <t>Epic,Roadmap Discussion</t>
  </si>
  <si>
    <t>Digicampus, Den Haag</t>
  </si>
  <si>
    <t>Comments: Threads + replies</t>
  </si>
  <si>
    <t>2023-03-28</t>
  </si>
  <si>
    <t>2023-04-11</t>
  </si>
  <si>
    <t>Innovation library management by admins</t>
  </si>
  <si>
    <t>Documents: Secure storage with management</t>
  </si>
  <si>
    <t>New hub structure with callouts in context</t>
  </si>
  <si>
    <t>landingpage</t>
  </si>
  <si>
    <t>Smart Analytics to understand community needs/interests</t>
  </si>
  <si>
    <t>New</t>
  </si>
  <si>
    <t>Multiple email support</t>
  </si>
  <si>
    <t>Elaborated</t>
  </si>
  <si>
    <t>Epic,A: Platform,Infrastructure</t>
  </si>
  <si>
    <t>Epic,A: Context</t>
  </si>
  <si>
    <t>2023-04-25</t>
  </si>
  <si>
    <t>Community Terms: phase 2</t>
  </si>
  <si>
    <t>Digicampus, Humanity Hub, The Hague</t>
  </si>
  <si>
    <t>Forum: notifications, sharing</t>
  </si>
  <si>
    <t>Visuals on Journeys: Enhanced selection + suggested images</t>
  </si>
  <si>
    <t>Accessibility: Keyboard navigation</t>
  </si>
  <si>
    <t>Accessibility: Visuals alternative text</t>
  </si>
  <si>
    <t>User controls on data visibility</t>
  </si>
  <si>
    <t>Initiative</t>
  </si>
  <si>
    <t>I: Analytics via connectivity graph v1</t>
  </si>
  <si>
    <t>I: Journey structure refresh</t>
  </si>
  <si>
    <t>I: Maintainability</t>
  </si>
  <si>
    <t>I: Onboarding the community</t>
  </si>
  <si>
    <t>I: Guidance for users</t>
  </si>
  <si>
    <t>I: Platform responsiveness</t>
  </si>
  <si>
    <t>I: Platform Management</t>
  </si>
  <si>
    <t>I: Content + Knowledge Management</t>
  </si>
  <si>
    <t>I: Accessibility</t>
  </si>
  <si>
    <t>I: Notifications</t>
  </si>
  <si>
    <t>I: Library population, usage + feedback</t>
  </si>
  <si>
    <t>I: Innovation Library</t>
  </si>
  <si>
    <t>I: Enriched User Profiles</t>
  </si>
  <si>
    <t>I: Smart search</t>
  </si>
  <si>
    <t>Analytics + monitoring: Dedicated elastic cluster</t>
  </si>
  <si>
    <t>Note: update to have each period start / end adjustable</t>
  </si>
  <si>
    <t>2023-06-06</t>
  </si>
  <si>
    <t>Valentin Yanakiev,Denise Larsson</t>
  </si>
  <si>
    <t>Innovation Hubs: Specified Hubs, Hub visibility</t>
  </si>
  <si>
    <t>Time Period Start</t>
  </si>
  <si>
    <t>Available Sprints</t>
  </si>
  <si>
    <t>Vacations / Done (sprints)</t>
  </si>
  <si>
    <t>Journey refresh: Space level additional functionality</t>
  </si>
  <si>
    <t>2023-06-20</t>
  </si>
  <si>
    <t>Sharing metrics of Space activity with leads</t>
  </si>
  <si>
    <t>Space Visualization component</t>
  </si>
  <si>
    <t>Follow a Space / Challenge / Opportunity</t>
  </si>
  <si>
    <t>I: Innovation Hubs</t>
  </si>
  <si>
    <t>Update of Journey settings tab: v1</t>
  </si>
  <si>
    <t>Innovation Hubs: Rounding out Functionality</t>
  </si>
  <si>
    <t>Shipping Retrofits, TIP, GovTechNL</t>
  </si>
  <si>
    <t>InnovationHubs without networking updates</t>
  </si>
  <si>
    <t>Dev env optimisation, incl InnovationHubs locally</t>
  </si>
  <si>
    <t>Epic,Product Discussion</t>
  </si>
  <si>
    <t>Quota / resource management: Documents</t>
  </si>
  <si>
    <t>Total</t>
  </si>
  <si>
    <t>Email Templates: Refresh</t>
  </si>
  <si>
    <t>Innovation Flow: Lifecycles v2</t>
  </si>
  <si>
    <t>Innovation Flow usage in Challenges</t>
  </si>
  <si>
    <t>Invite Users to Space</t>
  </si>
  <si>
    <t>Epic,A: Platform</t>
  </si>
  <si>
    <t>2023-07-18</t>
  </si>
  <si>
    <t>Reporting: Additional reports, data extensions, operations</t>
  </si>
  <si>
    <t>Challenge/Opportunity refresh</t>
  </si>
  <si>
    <t>Innovation Flow: Definition to include goal/checklist/callouts</t>
  </si>
  <si>
    <t>Community: Multiple Lead Organizations on Space, Admin as Role</t>
  </si>
  <si>
    <t xml:space="preserve">QA: Improved Test Infrastructure </t>
  </si>
  <si>
    <t>2023-09-12</t>
  </si>
  <si>
    <t>Generative AI: guidance demonstrator</t>
  </si>
  <si>
    <t>2023-08-01</t>
  </si>
  <si>
    <t>2023-08-29</t>
  </si>
  <si>
    <t>Client: Simplified logic via streamlined server api</t>
  </si>
  <si>
    <t>2023-08-15</t>
  </si>
  <si>
    <t>Svetoslav Petkov,user</t>
  </si>
  <si>
    <t>Epic,Roadmap Discussion,Product Discussion</t>
  </si>
  <si>
    <t>Defined</t>
  </si>
  <si>
    <t>2023-09-26</t>
  </si>
  <si>
    <t>Reporting: (automated) sharing of reports , read only access</t>
  </si>
  <si>
    <t>Client: Optimize user responsiveness</t>
  </si>
  <si>
    <t>VNG, Data Autonomy</t>
  </si>
  <si>
    <t>Default callouts extended</t>
  </si>
  <si>
    <t xml:space="preserve">Guidance: beta testing with Alkemio community </t>
  </si>
  <si>
    <t>Switch to Vite from Webpack</t>
  </si>
  <si>
    <t>Community Invitations: Allowing inviting many (external) users at once</t>
  </si>
  <si>
    <t>Callouts: refreshed create flow</t>
  </si>
  <si>
    <t>2024 Q1</t>
  </si>
  <si>
    <t>2024 Q2</t>
  </si>
  <si>
    <t>2025 Q4</t>
  </si>
  <si>
    <t>2026 Q4</t>
  </si>
  <si>
    <t>2026 Q1</t>
  </si>
  <si>
    <t>2026 Q2</t>
  </si>
  <si>
    <t>2026 Q3</t>
  </si>
  <si>
    <t>Bobby Kolev</t>
  </si>
  <si>
    <t>Template pack: UI improvements</t>
  </si>
  <si>
    <t>2025-09-30</t>
  </si>
  <si>
    <t>Converter service: Picture to whiteboard</t>
  </si>
  <si>
    <t>2025-10-14</t>
  </si>
  <si>
    <t>Extend set of events for notifications (inapp + email)</t>
  </si>
  <si>
    <t>Sharing/Collaborating with unauthenticated users 2.0: Callouts</t>
  </si>
  <si>
    <t>Sharing/Collaborating on Whiteboards with unauthenticated users (L)</t>
  </si>
  <si>
    <t>[Bucket] Reducing errors &amp; warnings</t>
  </si>
  <si>
    <t>Epic,Atlas Team,Rhea Team</t>
  </si>
  <si>
    <t>Independent issues</t>
  </si>
  <si>
    <t>Subscriptions on all Space pages</t>
  </si>
  <si>
    <t>2025-10-28</t>
  </si>
  <si>
    <t>InApp Notifications: GA readiness</t>
  </si>
  <si>
    <t>Notifications: on the platform, per space</t>
  </si>
  <si>
    <t>Callouts: updated UI/UX</t>
  </si>
  <si>
    <t>Video calling services</t>
  </si>
  <si>
    <t>Vladimir Aleksiev</t>
  </si>
  <si>
    <t>VC: Enable prototyping</t>
  </si>
  <si>
    <t>Innovation Flow: settings and default callout content</t>
  </si>
  <si>
    <t>Polina Boneva</t>
  </si>
  <si>
    <t>Accessibility: WCAG 2.1 - SPLIT INTO TWO</t>
  </si>
  <si>
    <t>Valentin Yanakiev,Donna</t>
  </si>
  <si>
    <t>Authentication: Support for public sector identities</t>
  </si>
  <si>
    <t>Improved Confidence in the Platform</t>
  </si>
  <si>
    <t>Bobby Kolev,Evgeni Dimitrov</t>
  </si>
  <si>
    <t>QA: Client Test Suites setup (Spec-kit)</t>
  </si>
  <si>
    <t>Bucket: Search</t>
  </si>
  <si>
    <t>Roadmap</t>
  </si>
  <si>
    <t>Memo: Commenting &amp; other Refinements</t>
  </si>
  <si>
    <t>Bobby Kolev,Svetoslav Petkov</t>
  </si>
  <si>
    <t>Notifications: Controls per space</t>
  </si>
  <si>
    <t>Templates: Interaction Space library and platform library</t>
  </si>
  <si>
    <t>Templates: Complete set</t>
  </si>
  <si>
    <t>2024 Q3</t>
  </si>
  <si>
    <t>Notifications: Grouping + additional types</t>
  </si>
  <si>
    <t>Notifications: Aggregation of events</t>
  </si>
  <si>
    <t>Epic,server,Atlas Team</t>
  </si>
  <si>
    <t>Memo: Multi-user collaborative document</t>
  </si>
  <si>
    <t>2025-09-02</t>
  </si>
  <si>
    <t>Epic,Atlas Team</t>
  </si>
  <si>
    <t>Notifications Beta tester Improvements</t>
  </si>
  <si>
    <t>Backup Improvements</t>
  </si>
  <si>
    <t>2025-08-19</t>
  </si>
  <si>
    <t xml:space="preserve">Client: React 19 </t>
  </si>
  <si>
    <t>2025-08-05</t>
  </si>
  <si>
    <t>(Sub)Space Templates: Preview + Management</t>
  </si>
  <si>
    <t>Calendar events Bucket: Importing/Exporting; flexible time; show events from related sub/space</t>
  </si>
  <si>
    <t>External Penetration Testing [Q4 2025]</t>
  </si>
  <si>
    <t>Avans</t>
  </si>
  <si>
    <t>VC improving answers</t>
  </si>
  <si>
    <t>Client Tech debt: Q4 2025</t>
  </si>
  <si>
    <t>End-end tracking across welcome site &gt; platform</t>
  </si>
  <si>
    <t>operations,QA</t>
  </si>
  <si>
    <t>Stress testing the platform</t>
  </si>
  <si>
    <t>Incident Response Protocol and Improvements</t>
  </si>
  <si>
    <t>User-user messaging (Matrix) (M)</t>
  </si>
  <si>
    <t>User to user messaging on the platform</t>
  </si>
  <si>
    <t>Working on Alkemio as an Organization</t>
  </si>
  <si>
    <t>Matrix scalability</t>
  </si>
  <si>
    <t>Exposing Matrix Externally (Usage of Alkemio platform identities for Matrix)</t>
  </si>
  <si>
    <t>Scalable whiteboard collaboration service</t>
  </si>
  <si>
    <t>Epic,QA,Refinement,Atlas Team</t>
  </si>
  <si>
    <t>Test suites: validate database content</t>
  </si>
  <si>
    <t>Space templates with hierarchy</t>
  </si>
  <si>
    <t>2025-07-08</t>
  </si>
  <si>
    <t>Simone</t>
  </si>
  <si>
    <t>Epic,Rhea Team</t>
  </si>
  <si>
    <t>Fixing MD editor bugs</t>
  </si>
  <si>
    <t>Synapse upgrade (Matrix scalability)</t>
  </si>
  <si>
    <t>2025-06-24</t>
  </si>
  <si>
    <t>Using L0 Space VCs throughout the entire Space hierarchy</t>
  </si>
  <si>
    <t>Richer interaction inside the Space</t>
  </si>
  <si>
    <t>Full Subspace templates</t>
  </si>
  <si>
    <t>Epic,client,Product Discussion</t>
  </si>
  <si>
    <t>Visible Errors to the user - Improve observability and feedback</t>
  </si>
  <si>
    <t>Authentication using EIDAS identity</t>
  </si>
  <si>
    <t>2025-06-10</t>
  </si>
  <si>
    <t>Hidden Spaces</t>
  </si>
  <si>
    <t>Command line utilities for non-devs</t>
  </si>
  <si>
    <t>Epic,Roadmap Discussion,New this Sprint</t>
  </si>
  <si>
    <t>Licensing: Account management</t>
  </si>
  <si>
    <t>Products + Licensing</t>
  </si>
  <si>
    <t>VCs: Data freshness</t>
  </si>
  <si>
    <t>Virtual Contributors: Q3 2024</t>
  </si>
  <si>
    <t>Flexible &amp; Templatable community roles</t>
  </si>
  <si>
    <t>Innovation Professional Support</t>
  </si>
  <si>
    <t>Maloe</t>
  </si>
  <si>
    <t>product</t>
  </si>
  <si>
    <t>Epic,Product Team</t>
  </si>
  <si>
    <t>Epic: Engaging Platform Library</t>
  </si>
  <si>
    <t>Space Types</t>
  </si>
  <si>
    <t>VC: Single user interaction</t>
  </si>
  <si>
    <t>Evgeni Dimitrov,Simone</t>
  </si>
  <si>
    <t>enhancement,Epic,client,Refinement,Rhea Team</t>
  </si>
  <si>
    <t>Single subspace concept</t>
  </si>
  <si>
    <t>Server project maintainance</t>
  </si>
  <si>
    <t>2024-11-19</t>
  </si>
  <si>
    <t>License management using Wingback</t>
  </si>
  <si>
    <t>2025-02-04</t>
  </si>
  <si>
    <t>Whiteboard: stable connections</t>
  </si>
  <si>
    <t>2025-02-18</t>
  </si>
  <si>
    <t>VC: Knowledge Base</t>
  </si>
  <si>
    <t>VC: Guidance documentation + ChromaDB</t>
  </si>
  <si>
    <t>2025-03-04</t>
  </si>
  <si>
    <t>Rebuild Prod Cluster</t>
  </si>
  <si>
    <t>2025-04-29</t>
  </si>
  <si>
    <t>Client: Space clean up, routing, deprecated</t>
  </si>
  <si>
    <t>2025-05-13</t>
  </si>
  <si>
    <t xml:space="preserve">VC: Transparency profile data </t>
  </si>
  <si>
    <t xml:space="preserve">VC: Service AI - community what has happened </t>
  </si>
  <si>
    <t>Bucket: VC improved functionality</t>
  </si>
  <si>
    <t>VC: Image generation</t>
  </si>
  <si>
    <t>VCs: Monitoring + operations</t>
  </si>
  <si>
    <t>VC: Expert engine space data retrieval + loading</t>
  </si>
  <si>
    <t>VC: Controls on data sources</t>
  </si>
  <si>
    <t>VC Store</t>
  </si>
  <si>
    <t>2025-01-07</t>
  </si>
  <si>
    <t>Technical: ESM Module usage v1</t>
  </si>
  <si>
    <t>2025-05-27</t>
  </si>
  <si>
    <t>Connectivity Issues: New app version</t>
  </si>
  <si>
    <t>Encryption at rest</t>
  </si>
  <si>
    <t>Upgrade to NestJS 11 + ESM (as this was not supported by older nestjs)</t>
  </si>
  <si>
    <t>Client: time to first load</t>
  </si>
  <si>
    <t>Onboarding large user groups</t>
  </si>
  <si>
    <t>Refreshed Sign up flow supporting additional identities</t>
  </si>
  <si>
    <t>Transforming static contributors/subspaces blocks into callouts</t>
  </si>
  <si>
    <t xml:space="preserve">Account management for Start pages </t>
  </si>
  <si>
    <t>Infrastructure: Maintainability Q2 2025</t>
  </si>
  <si>
    <t>Epic,QA,Product Discussion</t>
  </si>
  <si>
    <t>Test suite: VCs</t>
  </si>
  <si>
    <t>Space layout</t>
  </si>
  <si>
    <t>Infra: split of prod from dev</t>
  </si>
  <si>
    <t>2025-04-15</t>
  </si>
  <si>
    <t>Excalidraw upgrade</t>
  </si>
  <si>
    <t>About dialog</t>
  </si>
  <si>
    <t>LibraFlowVC: Prototype</t>
  </si>
  <si>
    <t>Client: Material UI refresh 6.4</t>
  </si>
  <si>
    <t>LibreChat: Production deployment</t>
  </si>
  <si>
    <t>2025-04-01</t>
  </si>
  <si>
    <t>Production: MySql cluster</t>
  </si>
  <si>
    <t>Epic,Align Z-GP</t>
  </si>
  <si>
    <t>Offsite!</t>
  </si>
  <si>
    <t>2025-03-18</t>
  </si>
  <si>
    <t>Enabling the Ultimate VC Demo</t>
  </si>
  <si>
    <t>VC: Embeddings management</t>
  </si>
  <si>
    <t>VC: AI Server split from server</t>
  </si>
  <si>
    <t>VCs: Multiple context types</t>
  </si>
  <si>
    <t>Client tech debt: cleanup Q1 2025</t>
  </si>
  <si>
    <t>VC: Polishing for production</t>
  </si>
  <si>
    <t>Search per category</t>
  </si>
  <si>
    <t>Subspace templates: ready for promotion</t>
  </si>
  <si>
    <t>2025-01-21</t>
  </si>
  <si>
    <t>Epic,QA,Atlas Team</t>
  </si>
  <si>
    <t>Test suites: maintainability</t>
  </si>
  <si>
    <t>Valentin Yanakiev,Svetoslav Petkov,Donna</t>
  </si>
  <si>
    <t>Reporting: Passive usage</t>
  </si>
  <si>
    <t>Usage insights</t>
  </si>
  <si>
    <t>Bucket: Client: Technical debt</t>
  </si>
  <si>
    <t>Notifications for beta testers</t>
  </si>
  <si>
    <t>2024-12-03</t>
  </si>
  <si>
    <t>Carlos Cano,Neil Smyth</t>
  </si>
  <si>
    <t>Inviting an organization into a Space</t>
  </si>
  <si>
    <t>Memberships: consistency, organization</t>
  </si>
  <si>
    <t>Create your own Space: GA</t>
  </si>
  <si>
    <t>Bobby Kolev,Donna</t>
  </si>
  <si>
    <t>Monitoring: Q4 errors investigation</t>
  </si>
  <si>
    <t>Moving between levels: pro/de-moting (Sub)Spaces, moving callouts</t>
  </si>
  <si>
    <t>Epic,Product Team,Roadmap Discussion</t>
  </si>
  <si>
    <t>Account: Consistent settings per resource</t>
  </si>
  <si>
    <t>AI: Automated scope analysis for risk-based testing</t>
  </si>
  <si>
    <t>Visibility: clean, clear, and consistent</t>
  </si>
  <si>
    <t>QA Management Tooling + Plan (M)</t>
  </si>
  <si>
    <t>Server: robustness + performance Q2 2025</t>
  </si>
  <si>
    <t>Release mgmt: Process + tooling</t>
  </si>
  <si>
    <t>Valentin Yanakiev,Svetoslav Petkov</t>
  </si>
  <si>
    <t>Reporting: Active usage monitoring</t>
  </si>
  <si>
    <t>Evgeni Dimitrov</t>
  </si>
  <si>
    <t>QA: Test Suites extensions Q4</t>
  </si>
  <si>
    <t>Simple homepage</t>
  </si>
  <si>
    <t>2024-11-05</t>
  </si>
  <si>
    <t>Exciting first impression</t>
  </si>
  <si>
    <t>Cleanup sprint 102</t>
  </si>
  <si>
    <t>Authentication: Identity Management</t>
  </si>
  <si>
    <t>API usage performance / monitoring / audit trail</t>
  </si>
  <si>
    <t>Licensing: Visibility on account + enforcement on resource creation</t>
  </si>
  <si>
    <t>Licensing: Entitlement usage inside Spaces</t>
  </si>
  <si>
    <t>Whiteboards: Robustness + performance Q4</t>
  </si>
  <si>
    <t>Reporting: User flows</t>
  </si>
  <si>
    <t>Welcome site v3</t>
  </si>
  <si>
    <t>Whiteboard: stability</t>
  </si>
  <si>
    <t>2024-10-22</t>
  </si>
  <si>
    <t>Temporary Storage</t>
  </si>
  <si>
    <t>Resource controls: demo, searchability, hidden etc</t>
  </si>
  <si>
    <t>Forum: ready for release notes</t>
  </si>
  <si>
    <t>Epic,QA,Product Discussion,Rhea Team</t>
  </si>
  <si>
    <t>QA on multi-user collaboration on whiteboard</t>
  </si>
  <si>
    <t>Whiteboard: history</t>
  </si>
  <si>
    <t>Platform Administration</t>
  </si>
  <si>
    <t>Organizations: Flexibility/Less formal + Simplify Unverified profiles</t>
  </si>
  <si>
    <t>Organization profile: Clear &amp; fit for purpose</t>
  </si>
  <si>
    <t>Vladimir Aleksiev,Svetoslav Petkov</t>
  </si>
  <si>
    <t>Authorization Checking Service; cleanup (Spec-kit)</t>
  </si>
  <si>
    <t>Bucket: Server performance</t>
  </si>
  <si>
    <t>QA: Nightly Builds</t>
  </si>
  <si>
    <t>Callout Engagement: ++</t>
  </si>
  <si>
    <t>VC: Smart Embeddings</t>
  </si>
  <si>
    <t>Subspace Templates: Usage + management of platform templates</t>
  </si>
  <si>
    <t>Collaboration templates</t>
  </si>
  <si>
    <t>Digicampus, Novum, VNG</t>
  </si>
  <si>
    <t>Data driven defaults</t>
  </si>
  <si>
    <t>Epic,Product Team,Atlas Team</t>
  </si>
  <si>
    <t>Process around Error logs (Production issues: root cause analysis + reduction of noise)</t>
  </si>
  <si>
    <t>2024-09-24</t>
  </si>
  <si>
    <t>Summer UX Improvements</t>
  </si>
  <si>
    <t>Platform documentation</t>
  </si>
  <si>
    <t xml:space="preserve">Memberships: Role definitions </t>
  </si>
  <si>
    <t>Hosting production environments and services</t>
  </si>
  <si>
    <t>Serverside master for Whiteboards</t>
  </si>
  <si>
    <t>VNG</t>
  </si>
  <si>
    <t>Epic,Release this sprint</t>
  </si>
  <si>
    <t>Spaces with subspaces: Account entity, api usage</t>
  </si>
  <si>
    <t>2024-03-12</t>
  </si>
  <si>
    <t>Spaces with Subspaces</t>
  </si>
  <si>
    <t>Bucket: Whiteboards</t>
  </si>
  <si>
    <t>Activity Tracking: refresh of contributions monitoring</t>
  </si>
  <si>
    <t>Enhanced Sign up flow</t>
  </si>
  <si>
    <t>Homepage / Dashboard: Private workspace</t>
  </si>
  <si>
    <t>Storage: Improved handling of documents that are uploaded</t>
  </si>
  <si>
    <t>Managing the user-organization + org roles relationship</t>
  </si>
  <si>
    <t>Config mgmt: Helm deployments for k8s</t>
  </si>
  <si>
    <t>Search: Add forum, and help content to the search results</t>
  </si>
  <si>
    <t>Search: Smart</t>
  </si>
  <si>
    <t>Epic,server,Security</t>
  </si>
  <si>
    <t>Development versions refresh</t>
  </si>
  <si>
    <t>Space default callouts in pack</t>
  </si>
  <si>
    <t>Create on Create, not on Save</t>
  </si>
  <si>
    <t>Experience for unauthorized users</t>
  </si>
  <si>
    <t>Journey settings: challenge, community membership policy</t>
  </si>
  <si>
    <t>Private sub-subspace</t>
  </si>
  <si>
    <t>Callout templates domain model update</t>
  </si>
  <si>
    <t>2023-10-24</t>
  </si>
  <si>
    <t>VNG, Digicampus</t>
  </si>
  <si>
    <t>Custom Homepage (former Innovation Hubs)</t>
  </si>
  <si>
    <t>Client: Technical debt -  round 3</t>
  </si>
  <si>
    <t>Digicampus challenge promotion</t>
  </si>
  <si>
    <t>Digicampus</t>
  </si>
  <si>
    <t>Powered by....</t>
  </si>
  <si>
    <t>PoweredBy: refinements</t>
  </si>
  <si>
    <t>2024-01-16</t>
  </si>
  <si>
    <t>Refresh Spaces page (former Challenges page)</t>
  </si>
  <si>
    <t>Refresh Contributors page</t>
  </si>
  <si>
    <t>Epic,Release this sprint,Rhea Team</t>
  </si>
  <si>
    <t>Accounts for managing resources</t>
  </si>
  <si>
    <t>2024-08-27</t>
  </si>
  <si>
    <t>VC: Usability, creation flow</t>
  </si>
  <si>
    <t>Production cluster optimization</t>
  </si>
  <si>
    <t>Robust Service phase 1</t>
  </si>
  <si>
    <t>Epic,Infrastructure</t>
  </si>
  <si>
    <t>Operations: Platform health monitoring</t>
  </si>
  <si>
    <t>Bucket: Content editing improvements</t>
  </si>
  <si>
    <t>Welcome dialog for new members of a Journey</t>
  </si>
  <si>
    <t>Bucket: Enhancing UX: Reducing Clicks and Scrolling</t>
  </si>
  <si>
    <t>Bucket: Enhancing UX: Guidance in current functionality</t>
  </si>
  <si>
    <t>Bucket: Forum improvements</t>
  </si>
  <si>
    <t>Bucket: Enhancing UX: Streamlining User Interaction with Existing Functionality</t>
  </si>
  <si>
    <t>Templates: consistency in structure</t>
  </si>
  <si>
    <t>Accessibility: Headings</t>
  </si>
  <si>
    <t>Epic,Product Team,client</t>
  </si>
  <si>
    <t>UX: Sorting control on the client</t>
  </si>
  <si>
    <t>Bucket: Journey membership UX improvements</t>
  </si>
  <si>
    <t>Bucket: User login / membership improvements</t>
  </si>
  <si>
    <t>Reporting: geolocation, sign ups</t>
  </si>
  <si>
    <t>Knowledge: Suggested best practice templates</t>
  </si>
  <si>
    <t>Activity: Auditing for admins</t>
  </si>
  <si>
    <t>Bucket: Guidance: Improvements</t>
  </si>
  <si>
    <t>Callouts: additional contribution types</t>
  </si>
  <si>
    <t>Callout Templates: Spaces</t>
  </si>
  <si>
    <t>2023-11-07</t>
  </si>
  <si>
    <t>Whiteboard: Robust connectivity</t>
  </si>
  <si>
    <t>2024-05-21</t>
  </si>
  <si>
    <t>Subspace invitations</t>
  </si>
  <si>
    <t>Smoothly joining a community</t>
  </si>
  <si>
    <t>Journey structure refresh</t>
  </si>
  <si>
    <t>UX Refinements - Round 5b</t>
  </si>
  <si>
    <t>2024-02-13</t>
  </si>
  <si>
    <t>My Dashboard: Optimization, Ordering, Clean contribution log</t>
  </si>
  <si>
    <t>2024-02-27</t>
  </si>
  <si>
    <t>Innovation Flow: simple set of states</t>
  </si>
  <si>
    <t>Database: responsiveness, scalability + redundancy</t>
  </si>
  <si>
    <t>Client errors tracability + reproducability</t>
  </si>
  <si>
    <t>Innovation flow: UX improvements</t>
  </si>
  <si>
    <t>All whiteboards are RT</t>
  </si>
  <si>
    <t>Subspaces: api convergence</t>
  </si>
  <si>
    <t>2024-04-09</t>
  </si>
  <si>
    <t>Search: Performant, scalable + smarter</t>
  </si>
  <si>
    <t>Whiteboard: interactive multi-user editing demonstrator</t>
  </si>
  <si>
    <t>Multi-user whiteboard: production beta</t>
  </si>
  <si>
    <t>2023-11-21</t>
  </si>
  <si>
    <t>Storage per entity, whiteboard images</t>
  </si>
  <si>
    <t>Andrew Pazniak,Valentin Yanakiev</t>
  </si>
  <si>
    <t>Authentication: login  improvements</t>
  </si>
  <si>
    <t>QA: test suites using graphql - full migration</t>
  </si>
  <si>
    <t>Licence Framework (Licensing and quotas for subscriptions)</t>
  </si>
  <si>
    <t>Epic,Roadmap Candidate</t>
  </si>
  <si>
    <t>Infrastructure: Drop usage AWS, Backups maintenance</t>
  </si>
  <si>
    <t>VCs: Usage controls</t>
  </si>
  <si>
    <t>2024-06-18</t>
  </si>
  <si>
    <t>Virtual Contributors: Launch Campaign</t>
  </si>
  <si>
    <t>VC: Interaction + quality</t>
  </si>
  <si>
    <t>VC: Onboarding flow</t>
  </si>
  <si>
    <t>Observability: Probes, alerting, logs</t>
  </si>
  <si>
    <t>2024-07-16</t>
  </si>
  <si>
    <t>Create a Space yourself</t>
  </si>
  <si>
    <t>2024-06-04</t>
  </si>
  <si>
    <t>Virtual Contributors: MVP</t>
  </si>
  <si>
    <t>Virtual Contributors: MVP Refinements</t>
  </si>
  <si>
    <t>Virtual persona: demonstrator</t>
  </si>
  <si>
    <t>2024-04-23</t>
  </si>
  <si>
    <t>Search: callouts</t>
  </si>
  <si>
    <t>File serving scalable</t>
  </si>
  <si>
    <t>Library: templates for community guidelines + callouts</t>
  </si>
  <si>
    <t>Bucket: Server: Performance Optimization</t>
  </si>
  <si>
    <t>Journey settings v2: Space platform info, membership</t>
  </si>
  <si>
    <t>Activity tracking: deletion</t>
  </si>
  <si>
    <t>Generation of URLs for client-web</t>
  </si>
  <si>
    <t>Kratos 1.0</t>
  </si>
  <si>
    <t>2023-12-05</t>
  </si>
  <si>
    <t xml:space="preserve">My Dashboard (My home page: Activity) </t>
  </si>
  <si>
    <t>2024-01-30</t>
  </si>
  <si>
    <t>Bucket: Innovation Library Management, InnovationPack extensions</t>
  </si>
  <si>
    <t>Innovation Hubs: Findings</t>
  </si>
  <si>
    <t xml:space="preserve"> VNG, Digicampus, DSIH</t>
  </si>
  <si>
    <t>Epic,Product Team,A: Platform</t>
  </si>
  <si>
    <t>Operations: Kratos Administration</t>
  </si>
  <si>
    <t>Multiple Language Support</t>
  </si>
  <si>
    <t>Technical debt: Tags/Innovation flow template functionality redesign</t>
  </si>
  <si>
    <t>Epic,Product Team,A: Context</t>
  </si>
  <si>
    <t>InnovationFlow: Creation + management</t>
  </si>
  <si>
    <t>Epic,Product Team,Product Discussion</t>
  </si>
  <si>
    <t>Connectivity Graph</t>
  </si>
  <si>
    <t>René Honig,Valentin Yanakiev</t>
  </si>
  <si>
    <t>Epic,A: Community,Roadmap Discussion</t>
  </si>
  <si>
    <t>Improved signup flow: Newsletter registration, GDPR, ..</t>
  </si>
  <si>
    <t>User Engagement with the platform</t>
  </si>
  <si>
    <t>Epic,Partner request,Request,Rhea Team</t>
  </si>
  <si>
    <t>Calendar events: flexible time + subspaces</t>
  </si>
  <si>
    <t>X</t>
  </si>
  <si>
    <t>Client component library in Figma</t>
  </si>
  <si>
    <t>Disaster recovery</t>
  </si>
  <si>
    <t>2024-10-08</t>
  </si>
  <si>
    <t>Search: richer data</t>
  </si>
  <si>
    <t>My Dashboard: live</t>
  </si>
  <si>
    <t>Subspaces: findings, non-urgent fixes, etc.</t>
  </si>
  <si>
    <t>Search: interaction</t>
  </si>
  <si>
    <t>Licensing: Payment flows (Wingback), upgrade</t>
  </si>
  <si>
    <t xml:space="preserve">Test suite: My dashboard </t>
  </si>
  <si>
    <t xml:space="preserve">Simpler URLs </t>
  </si>
  <si>
    <t>Single Templates Entity</t>
  </si>
  <si>
    <t>2024-09-10</t>
  </si>
  <si>
    <t>Automated Client Regression Testing</t>
  </si>
  <si>
    <t>Licensing: Runtime enforcement</t>
  </si>
  <si>
    <t>Account Mgmt v2: bucket (orgs, verification. ...)</t>
  </si>
  <si>
    <t>Inviting people for platform role</t>
  </si>
  <si>
    <t>Using Temporary Storage</t>
  </si>
  <si>
    <t>Subspaces: Technical Debt</t>
  </si>
  <si>
    <t>2024-08-13</t>
  </si>
  <si>
    <t>Storage management</t>
  </si>
  <si>
    <t>Authentication: Identity mgmt + flows with Kratos 1.2</t>
  </si>
  <si>
    <t>Authorization: acting on behalf of</t>
  </si>
  <si>
    <t>Data Integrity - CLOSED</t>
  </si>
  <si>
    <t xml:space="preserve">Innovation library - Agreements </t>
  </si>
  <si>
    <t>Content on the platform</t>
  </si>
  <si>
    <t xml:space="preserve">Welcome page v1 + foundation site </t>
  </si>
  <si>
    <t>Infrastructure: Domain per environment</t>
  </si>
  <si>
    <t>test-suites</t>
  </si>
  <si>
    <t>QA: test suites using graphql - framework + initial migration</t>
  </si>
  <si>
    <t>2023-10-10</t>
  </si>
  <si>
    <t>Reporting: access, other features requiring license</t>
  </si>
  <si>
    <t>GovTechNL, DSIH</t>
  </si>
  <si>
    <t xml:space="preserve">Restructure functional API tests folders </t>
  </si>
  <si>
    <t>UX Refinements - Round 5a</t>
  </si>
  <si>
    <t>Test harnesses for Documents</t>
  </si>
  <si>
    <t>Operations: Platform audit trail</t>
  </si>
  <si>
    <t>Guidance Engine: GA improvements</t>
  </si>
  <si>
    <t>2024-01-02</t>
  </si>
  <si>
    <t>Welcome page v2</t>
  </si>
  <si>
    <t>Storage: Replace IPFS with local storage</t>
  </si>
  <si>
    <t>Infrastructure: Domain clean up, backups + storage</t>
  </si>
  <si>
    <t xml:space="preserve">I: RT Whiteboard </t>
  </si>
  <si>
    <t>Specify the email sender for community notification emails</t>
  </si>
  <si>
    <t>Membership models</t>
  </si>
  <si>
    <t>Release notes management on platform</t>
  </si>
  <si>
    <t>Release mgmt: optimization</t>
  </si>
  <si>
    <t>Compliance: Tracking + cookie handling on client</t>
  </si>
  <si>
    <t>Epic,Infrastructure,server</t>
  </si>
  <si>
    <t>Single type of Database</t>
  </si>
  <si>
    <t>Data integrity v3</t>
  </si>
  <si>
    <t>Search: smart tags</t>
  </si>
  <si>
    <t>Subscriptions: Challenges</t>
  </si>
  <si>
    <t>Subscriptions: community</t>
  </si>
  <si>
    <t>Subscriptions: best practices library</t>
  </si>
  <si>
    <t>Subscriptions: Leads</t>
  </si>
  <si>
    <t>Subscriptions: Access</t>
  </si>
  <si>
    <t>Subscriptions: subscriptions settings page</t>
  </si>
  <si>
    <t>Subscriptions: Payments infrastructure</t>
  </si>
  <si>
    <t>Innovation Flow: Management</t>
  </si>
  <si>
    <t>Space Defaults to reflect what most communities currently need</t>
  </si>
  <si>
    <t>Spaces with Subspaces: user interaction v1</t>
  </si>
  <si>
    <t>2024-03-26</t>
  </si>
  <si>
    <t>Accessibility: Skiplinks</t>
  </si>
  <si>
    <t>Accessibility: labeling buttons</t>
  </si>
  <si>
    <t>UX: Guidelines, org / user profile, community page, accessibility</t>
  </si>
  <si>
    <t>Community On-boarding</t>
  </si>
  <si>
    <t>Bucket: Engaging User Profiles / Profiles per community</t>
  </si>
  <si>
    <t>Whiteboards to generate content</t>
  </si>
  <si>
    <t>Whiteboard to generate content</t>
  </si>
  <si>
    <t>Linking contributions</t>
  </si>
  <si>
    <t>QA: Test suites expanded</t>
  </si>
  <si>
    <t>Test Suites Tech Debt</t>
  </si>
  <si>
    <t>Domain model: refinements</t>
  </si>
  <si>
    <t>Epic,server,Product Discussion</t>
  </si>
  <si>
    <t xml:space="preserve">Subscriptions: Design review + next level usage </t>
  </si>
  <si>
    <t>Static Code analysis: replacement for BCH</t>
  </si>
  <si>
    <t>QA: Test suite user authentication flows</t>
  </si>
  <si>
    <t>Server: Code clean up / optimization</t>
  </si>
  <si>
    <t>Domain: ActorGroups ==&gt; Actors with Tags</t>
  </si>
  <si>
    <t>Dev Tooling: Migrate to Yarn</t>
  </si>
  <si>
    <t>api: roadmap + design</t>
  </si>
  <si>
    <t>api: enhanced documentation</t>
  </si>
  <si>
    <t>Reporting: configuration management + deployment</t>
  </si>
  <si>
    <t>Excalidraw feedback</t>
  </si>
  <si>
    <t>Lessons learned other platforms</t>
  </si>
  <si>
    <t>Emails associated with a user</t>
  </si>
  <si>
    <t>LinkedIn: connected accounts + usage for populating Alkemio profiles + messages</t>
  </si>
  <si>
    <t>Organizations: Signed up versus profiles</t>
  </si>
  <si>
    <t>Offsite preparation</t>
  </si>
  <si>
    <t xml:space="preserve">Community Terms: phase 1 </t>
  </si>
  <si>
    <t>Community Rules / Member Guidelines</t>
  </si>
  <si>
    <t>Bucket: Enhancing UX: Visual improvements</t>
  </si>
  <si>
    <t>Subspaces single page layout</t>
  </si>
  <si>
    <t>UX improvements: Sprint 87 (Visual improvements)</t>
  </si>
  <si>
    <t>Subspaces UI prep</t>
  </si>
  <si>
    <t>Platform visibility Collaboration professionals</t>
  </si>
  <si>
    <t>Simple versions of Alkemio</t>
  </si>
  <si>
    <t>Acc environment on demand</t>
  </si>
  <si>
    <t>Vulnerability scanning</t>
  </si>
  <si>
    <t>Governance: Security Audit + fixes</t>
  </si>
  <si>
    <t>Database: Robust deletions</t>
  </si>
  <si>
    <t>Epic,user story,server</t>
  </si>
  <si>
    <t>ORM Mapping Layer optimisation</t>
  </si>
  <si>
    <t>QA: Test Suites maintainability</t>
  </si>
  <si>
    <t>Subscriptions: Test framework + initial limited test suite</t>
  </si>
  <si>
    <t>QA: Expand set of server API E2E tests</t>
  </si>
  <si>
    <t>Caching at the cluster level</t>
  </si>
  <si>
    <t>Search UI Tests</t>
  </si>
  <si>
    <t>System test plan tracking</t>
  </si>
  <si>
    <t>notifications</t>
  </si>
  <si>
    <t>Notifications: configuration management flexibility</t>
  </si>
  <si>
    <t>Chat Guidance: Multiple sessions</t>
  </si>
  <si>
    <t>Client observability: setup to improve user experience</t>
  </si>
  <si>
    <t>Client: Tech debt - Bucket</t>
  </si>
  <si>
    <t>VC: External AI service</t>
  </si>
  <si>
    <t>Invitations for roles</t>
  </si>
  <si>
    <t>Infrastructure: Cluster fixes vNext</t>
  </si>
  <si>
    <t>Engaging main pages for unauthenticated users (Dash, Explore Spaces, Find Contributors)</t>
  </si>
  <si>
    <t xml:space="preserve">Global roles </t>
  </si>
  <si>
    <t>Upgrading/Downgrading Space license</t>
  </si>
  <si>
    <t>Organization credentials to be used by user</t>
  </si>
  <si>
    <t>Transparency on Space settings/library/etc for Space members</t>
  </si>
  <si>
    <t>Create your own space: GA</t>
  </si>
  <si>
    <t>Policy Updates</t>
  </si>
  <si>
    <t>Invitations / applications: polishing</t>
  </si>
  <si>
    <t>User verification flow</t>
  </si>
  <si>
    <t>Alkemio Expert Personas: allow creation + management</t>
  </si>
  <si>
    <t>VC: Threaded interactions</t>
  </si>
  <si>
    <t>VC: Insights on sources used</t>
  </si>
  <si>
    <t>Space AI service - EU LLM</t>
  </si>
  <si>
    <t>Cluster Health Monitoring Dashboards</t>
  </si>
  <si>
    <t>Avatars stored on Alkemio</t>
  </si>
  <si>
    <t xml:space="preserve">Stability: Atomic creation of key entities </t>
  </si>
  <si>
    <t>operations,Epic,Infrastructure,Release this sprint</t>
  </si>
  <si>
    <t>Hosting: Bare metal + performance</t>
  </si>
  <si>
    <t>VC: On-boarding flow ++</t>
  </si>
  <si>
    <t>Optimization of authorization reset process</t>
  </si>
  <si>
    <t>Hosting post-Azure credits</t>
  </si>
  <si>
    <t>VCs: EU-hosted LLM</t>
  </si>
  <si>
    <t>Bucket: VC improving the answers/response</t>
  </si>
  <si>
    <t>Stability: Client error tracing + reproduction</t>
  </si>
  <si>
    <t>XXXStability: Client error analysis + reduction</t>
  </si>
  <si>
    <t>Platform administration for organisation</t>
  </si>
  <si>
    <t>Data Integrity: Migrations reset; schema definition; orphaned data</t>
  </si>
  <si>
    <t>Performance Test Suite for api</t>
  </si>
  <si>
    <t>Space Template</t>
  </si>
  <si>
    <t>Act as...</t>
  </si>
  <si>
    <t>Bucket: Open Source Integrations</t>
  </si>
  <si>
    <t>Consistency in notifications for interaction in a space</t>
  </si>
  <si>
    <t>Onboarding new Space members - after sign-up flow</t>
  </si>
  <si>
    <t>VS: Meta information on knowledge base</t>
  </si>
  <si>
    <t>Enhance Tag Management and Usability</t>
  </si>
  <si>
    <t>New Callout type (partner preference)</t>
  </si>
  <si>
    <t xml:space="preserve"> Reporting: additional details</t>
  </si>
  <si>
    <t>Client Optimization: Optimizing Assets: images</t>
  </si>
  <si>
    <t>Client Optimization: Optimizing Assets: Serve static files/CDN</t>
  </si>
  <si>
    <t>Client Optimization: Optimizing code execution</t>
  </si>
  <si>
    <t>Client Optimization: Server Calls</t>
  </si>
  <si>
    <t>Open Badges support</t>
  </si>
  <si>
    <t>VC: Tech debt + allow for additional agency through async invocation</t>
  </si>
  <si>
    <t>2024-12-17</t>
  </si>
  <si>
    <t>Improving UX for "read only space"</t>
  </si>
  <si>
    <t>Epic,Infrastructure,Atlas Team</t>
  </si>
  <si>
    <t>Infrastructure: Maintainability Q4</t>
  </si>
  <si>
    <t xml:space="preserve">Bucket: User Documentation </t>
  </si>
  <si>
    <t>Search: remove old search implementation</t>
  </si>
  <si>
    <t>Space language</t>
  </si>
  <si>
    <t>Polis</t>
  </si>
  <si>
    <t>Privacy/GDPR: user control on visibility</t>
  </si>
  <si>
    <t>Dutch website + documentation</t>
  </si>
  <si>
    <t>Transfer of Callouts between spaces</t>
  </si>
  <si>
    <t>User documentation V1</t>
  </si>
  <si>
    <t>Inviting users to organization</t>
  </si>
  <si>
    <t>3rd party upgrade Q1+2 2025</t>
  </si>
  <si>
    <t>Notifications: Bucket tidy up</t>
  </si>
  <si>
    <t>Bucket: Innovation flows</t>
  </si>
  <si>
    <t>VC: Work product output</t>
  </si>
  <si>
    <t>VC: Workproduct input</t>
  </si>
  <si>
    <t>Onboarding flow: polishing</t>
  </si>
  <si>
    <t>Butcket: UX around a release</t>
  </si>
  <si>
    <t>New Callout Types</t>
  </si>
  <si>
    <t>Bucket: OS/Browser version issues (to keep track)</t>
  </si>
  <si>
    <t>Epic: Steward ownership on the platform</t>
  </si>
  <si>
    <t>Matrix: Interaction with rooms outside directly</t>
  </si>
  <si>
    <t>Infrastructure Cost optimization</t>
  </si>
  <si>
    <t>Basic usage supported on mobile</t>
  </si>
  <si>
    <t>Richer and visible interactions in Space</t>
  </si>
  <si>
    <t>Platform admin: Identities</t>
  </si>
  <si>
    <t>Callouts: updated UI/UX 2.0</t>
  </si>
  <si>
    <t>Callouts: updated UI/UX v2</t>
  </si>
  <si>
    <t>Richer space: media gallery (M)</t>
  </si>
  <si>
    <t>Client Automation (UI) (M)</t>
  </si>
  <si>
    <t>Authentication robustness</t>
  </si>
  <si>
    <t>Epic,client,Rhea Team</t>
  </si>
  <si>
    <t>React compiler: phase 1</t>
  </si>
  <si>
    <t>Client rendering + navigation</t>
  </si>
  <si>
    <t>Guided user onboarding 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</si>
</sst>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0.0"/>
  </numFmts>
  <fonts count="7" x14ac:knownFonts="1">
    <font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i/>
      <sz val="11"/>
      <color rgb="FFFF0000"/>
      <name val="Calibri"/>
      <family val="2"/>
    </font>
    <font>
      <b/>
      <sz val="11"/>
      <color rgb="FF000000"/>
      <name val="Calibri"/>
      <family val="2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E2F0D9"/>
        <bgColor rgb="FFFFFFCC"/>
      </patternFill>
    </fill>
    <fill>
      <patternFill patternType="solid">
        <fgColor rgb="FFB4C7E7"/>
        <bgColor rgb="FFBFBFBF"/>
      </patternFill>
    </fill>
  </fills>
  <borders count="3">
    <border>
      <left/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3" fillId="0" borderId="0" applyBorder="0" applyProtection="0"/>
    <xf numFmtId="0" fontId="3" fillId="2" borderId="0" applyBorder="0" applyProtection="0"/>
  </cellStyleXfs>
  <cellXfs count="15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0" fillId="0" borderId="2" xfId="0" applyBorder="1"/>
    <xf numFmtId="0" fontId="2" fillId="0" borderId="2" xfId="0" applyFont="1" applyBorder="1" applyAlignment="1">
      <alignment horizontal="left"/>
    </xf>
    <xf numFmtId="164" fontId="0" fillId="0" borderId="2" xfId="0" applyNumberFormat="1" applyBorder="1" applyAlignment="1">
      <alignment horizontal="center"/>
    </xf>
    <xf numFmtId="9" fontId="3" fillId="0" borderId="2" xfId="1" applyBorder="1" applyProtection="1"/>
    <xf numFmtId="165" fontId="0" fillId="0" borderId="2" xfId="0" applyNumberFormat="1" applyBorder="1"/>
    <xf numFmtId="1" fontId="0" fillId="0" borderId="2" xfId="0" applyNumberFormat="1" applyBorder="1"/>
    <xf numFmtId="0" fontId="2" fillId="0" borderId="0" xfId="0" applyFont="1" applyAlignment="1">
      <alignment horizontal="left"/>
    </xf>
    <xf numFmtId="1" fontId="0" fillId="0" borderId="0" xfId="0" applyNumberFormat="1"/>
    <xf numFmtId="0" fontId="4" fillId="0" borderId="0" xfId="0" applyFont="1"/>
    <xf numFmtId="0" fontId="5" fillId="0" borderId="0" xfId="0" applyFont="1"/>
    <xf numFmtId="0" fontId="2" fillId="3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/>
    </xf>
    <xf numFmtId="0" fontId="3" fillId="2" borderId="2" xfId="2" applyBorder="1" applyAlignment="1" applyProtection="1">
      <alignment horizontal="left" vertical="top" wrapText="1"/>
    </xf>
  </cellXfs>
  <cellStyles count="3">
    <cellStyle name="Excel Built-in 20% - Accent6" xfId="2" xr:uid="{00000000-0005-0000-0000-000006000000}"/>
    <cellStyle name="Normal" xfId="0" builtinId="0"/>
    <cellStyle name="Percent" xfId="1" builtinId="5"/>
  </cellStyles>
  <dxfs count="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B8B8B"/>
      <rgbColor rgb="FF9999FF"/>
      <rgbColor rgb="FF993366"/>
      <rgbColor rgb="FFFFFFCC"/>
      <rgbColor rgb="FFCCFFFF"/>
      <rgbColor rgb="FF660066"/>
      <rgbColor rgb="FFFF80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800" b="1" strike="noStrike" spc="-1">
                <a:solidFill>
                  <a:srgbClr val="40404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404040"/>
                </a:solidFill>
                <a:latin typeface="Calibri"/>
              </a:rPr>
              <a:t>Capacity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Capacity!$B$4:$C$4</c:f>
              <c:strCache>
                <c:ptCount val="1"/>
                <c:pt idx="0">
                  <c:v>Planned Available</c:v>
                </c:pt>
              </c:strCache>
            </c:strRef>
          </c:tx>
          <c:spPr>
            <a:solidFill>
              <a:srgbClr val="4472C4">
                <a:alpha val="85000"/>
              </a:srgbClr>
            </a:solidFill>
            <a:ln w="9360">
              <a:solidFill>
                <a:srgbClr val="FFFFFF">
                  <a:alpha val="50000"/>
                </a:srgbClr>
              </a:solidFill>
              <a:round/>
            </a:ln>
          </c:spPr>
          <c:invertIfNegative val="0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Capacity!$A$5:$A$11</c:f>
              <c:strCache>
                <c:ptCount val="7"/>
                <c:pt idx="0">
                  <c:v>2023 Q1</c:v>
                </c:pt>
                <c:pt idx="1">
                  <c:v>2023 Q2</c:v>
                </c:pt>
                <c:pt idx="2">
                  <c:v>2026 Q2</c:v>
                </c:pt>
                <c:pt idx="3">
                  <c:v>2026 Q3</c:v>
                </c:pt>
                <c:pt idx="4">
                  <c:v>2024 Q1</c:v>
                </c:pt>
                <c:pt idx="5">
                  <c:v>2024 Q2</c:v>
                </c:pt>
                <c:pt idx="6">
                  <c:v>#REF!</c:v>
                </c:pt>
              </c:strCache>
            </c:strRef>
          </c:cat>
          <c:val>
            <c:numRef>
              <c:f>Capacity!$B$5:$B$11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E4-43F4-BA43-630D9E3479BE}"/>
            </c:ext>
          </c:extLst>
        </c:ser>
        <c:ser>
          <c:idx val="1"/>
          <c:order val="1"/>
          <c:spPr>
            <a:solidFill>
              <a:srgbClr val="ED7D31">
                <a:alpha val="85000"/>
              </a:srgbClr>
            </a:solidFill>
            <a:ln w="9360">
              <a:solidFill>
                <a:srgbClr val="FFFFFF">
                  <a:alpha val="50000"/>
                </a:srgbClr>
              </a:solidFill>
              <a:round/>
            </a:ln>
          </c:spPr>
          <c:invertIfNegative val="0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Capacity!$A$5:$A$11</c:f>
              <c:strCache>
                <c:ptCount val="7"/>
                <c:pt idx="0">
                  <c:v>2023 Q1</c:v>
                </c:pt>
                <c:pt idx="1">
                  <c:v>2023 Q2</c:v>
                </c:pt>
                <c:pt idx="2">
                  <c:v>2026 Q2</c:v>
                </c:pt>
                <c:pt idx="3">
                  <c:v>2026 Q3</c:v>
                </c:pt>
                <c:pt idx="4">
                  <c:v>2024 Q1</c:v>
                </c:pt>
                <c:pt idx="5">
                  <c:v>2024 Q2</c:v>
                </c:pt>
                <c:pt idx="6">
                  <c:v>#REF!</c:v>
                </c:pt>
              </c:strCache>
            </c:strRef>
          </c:cat>
          <c:val>
            <c:numRef>
              <c:f>Capacity!$C$5:$C$11</c:f>
              <c:numCache>
                <c:formatCode>0</c:formatCode>
                <c:ptCount val="7"/>
                <c:pt idx="0">
                  <c:v>756</c:v>
                </c:pt>
                <c:pt idx="1">
                  <c:v>771.42857142857144</c:v>
                </c:pt>
                <c:pt idx="2">
                  <c:v>600</c:v>
                </c:pt>
                <c:pt idx="3">
                  <c:v>657.14285714285711</c:v>
                </c:pt>
                <c:pt idx="4">
                  <c:v>607.14285714285711</c:v>
                </c:pt>
                <c:pt idx="5">
                  <c:v>607.14285714285711</c:v>
                </c:pt>
                <c:pt idx="6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E4-43F4-BA43-630D9E3479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5"/>
        <c:axId val="70811296"/>
        <c:axId val="21869291"/>
      </c:barChart>
      <c:catAx>
        <c:axId val="7081129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9080">
            <a:solidFill>
              <a:srgbClr val="404040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404040"/>
                </a:solidFill>
                <a:latin typeface="Calibri"/>
              </a:defRPr>
            </a:pPr>
            <a:endParaRPr lang="en-US"/>
          </a:p>
        </c:txPr>
        <c:crossAx val="21869291"/>
        <c:crosses val="autoZero"/>
        <c:auto val="1"/>
        <c:lblAlgn val="ctr"/>
        <c:lblOffset val="100"/>
        <c:noMultiLvlLbl val="0"/>
      </c:catAx>
      <c:valAx>
        <c:axId val="21869291"/>
        <c:scaling>
          <c:orientation val="minMax"/>
        </c:scaling>
        <c:delete val="1"/>
        <c:axPos val="l"/>
        <c:majorGridlines>
          <c:spPr>
            <a:ln w="9360">
              <a:solidFill>
                <a:srgbClr val="BFBFBF">
                  <a:alpha val="36000"/>
                </a:srgb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crossAx val="7081129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FFFFFF"/>
        </a:gs>
        <a:gs pos="100000">
          <a:srgbClr val="BFBFBF"/>
        </a:gs>
      </a:gsLst>
      <a:path path="circle">
        <a:fillToRect l="50000" r="50000" b="100000"/>
      </a:path>
    </a:gradFill>
    <a:ln w="9360">
      <a:solidFill>
        <a:srgbClr val="BFBFBF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Epics</a:t>
            </a:r>
            <a:r>
              <a:rPr lang="en-GB" baseline="0"/>
              <a:t> by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Capacity!$F$4</c:f>
              <c:strCache>
                <c:ptCount val="1"/>
                <c:pt idx="0">
                  <c:v>Functionality: Tactical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Capacity!$A$5:$A$8</c:f>
              <c:strCache>
                <c:ptCount val="4"/>
                <c:pt idx="0">
                  <c:v>2023 Q1</c:v>
                </c:pt>
                <c:pt idx="1">
                  <c:v>2023 Q2</c:v>
                </c:pt>
                <c:pt idx="2">
                  <c:v>2026 Q2</c:v>
                </c:pt>
                <c:pt idx="3">
                  <c:v>2026 Q3</c:v>
                </c:pt>
              </c:strCache>
            </c:strRef>
          </c:cat>
          <c:val>
            <c:numRef>
              <c:f>Capacity!$F$5:$F$8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0DC-4B98-99BD-BFCD2233A6BE}"/>
            </c:ext>
          </c:extLst>
        </c:ser>
        <c:ser>
          <c:idx val="3"/>
          <c:order val="1"/>
          <c:tx>
            <c:strRef>
              <c:f>Capacity!$G$4</c:f>
              <c:strCache>
                <c:ptCount val="1"/>
                <c:pt idx="0">
                  <c:v>Maintenance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Capacity!$A$5:$A$8</c:f>
              <c:strCache>
                <c:ptCount val="4"/>
                <c:pt idx="0">
                  <c:v>2023 Q1</c:v>
                </c:pt>
                <c:pt idx="1">
                  <c:v>2023 Q2</c:v>
                </c:pt>
                <c:pt idx="2">
                  <c:v>2026 Q2</c:v>
                </c:pt>
                <c:pt idx="3">
                  <c:v>2026 Q3</c:v>
                </c:pt>
              </c:strCache>
            </c:strRef>
          </c:cat>
          <c:val>
            <c:numRef>
              <c:f>Capacity!$G$5:$G$8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0DC-4B98-99BD-BFCD2233A6BE}"/>
            </c:ext>
          </c:extLst>
        </c:ser>
        <c:ser>
          <c:idx val="4"/>
          <c:order val="2"/>
          <c:tx>
            <c:strRef>
              <c:f>Capacity!$H$4</c:f>
              <c:strCache>
                <c:ptCount val="1"/>
                <c:pt idx="0">
                  <c:v>Operations: Security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Capacity!$A$5:$A$8</c:f>
              <c:strCache>
                <c:ptCount val="4"/>
                <c:pt idx="0">
                  <c:v>2023 Q1</c:v>
                </c:pt>
                <c:pt idx="1">
                  <c:v>2023 Q2</c:v>
                </c:pt>
                <c:pt idx="2">
                  <c:v>2026 Q2</c:v>
                </c:pt>
                <c:pt idx="3">
                  <c:v>2026 Q3</c:v>
                </c:pt>
              </c:strCache>
            </c:strRef>
          </c:cat>
          <c:val>
            <c:numRef>
              <c:f>Capacity!$H$5:$H$8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FF-42D9-B55F-98A0EC659F94}"/>
            </c:ext>
          </c:extLst>
        </c:ser>
        <c:ser>
          <c:idx val="5"/>
          <c:order val="3"/>
          <c:tx>
            <c:strRef>
              <c:f>Capacity!$I$4</c:f>
              <c:strCache>
                <c:ptCount val="1"/>
                <c:pt idx="0">
                  <c:v>Operations: Effectiveness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Capacity!$A$5:$A$8</c:f>
              <c:strCache>
                <c:ptCount val="4"/>
                <c:pt idx="0">
                  <c:v>2023 Q1</c:v>
                </c:pt>
                <c:pt idx="1">
                  <c:v>2023 Q2</c:v>
                </c:pt>
                <c:pt idx="2">
                  <c:v>2026 Q2</c:v>
                </c:pt>
                <c:pt idx="3">
                  <c:v>2026 Q3</c:v>
                </c:pt>
              </c:strCache>
            </c:strRef>
          </c:cat>
          <c:val>
            <c:numRef>
              <c:f>Capacity!$I$5:$I$8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FF-42D9-B55F-98A0EC659F94}"/>
            </c:ext>
          </c:extLst>
        </c:ser>
        <c:ser>
          <c:idx val="6"/>
          <c:order val="4"/>
          <c:tx>
            <c:strRef>
              <c:f>Capacity!$J$4</c:f>
              <c:strCache>
                <c:ptCount val="1"/>
                <c:pt idx="0">
                  <c:v>Usability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Capacity!$A$5:$A$8</c:f>
              <c:strCache>
                <c:ptCount val="4"/>
                <c:pt idx="0">
                  <c:v>2023 Q1</c:v>
                </c:pt>
                <c:pt idx="1">
                  <c:v>2023 Q2</c:v>
                </c:pt>
                <c:pt idx="2">
                  <c:v>2026 Q2</c:v>
                </c:pt>
                <c:pt idx="3">
                  <c:v>2026 Q3</c:v>
                </c:pt>
              </c:strCache>
            </c:strRef>
          </c:cat>
          <c:val>
            <c:numRef>
              <c:f>Capacity!$J$5:$J$8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FF-42D9-B55F-98A0EC659F94}"/>
            </c:ext>
          </c:extLst>
        </c:ser>
        <c:ser>
          <c:idx val="0"/>
          <c:order val="5"/>
          <c:tx>
            <c:strRef>
              <c:f>Capacity!$K$4</c:f>
              <c:strCache>
                <c:ptCount val="1"/>
                <c:pt idx="0">
                  <c:v>Performance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Capacity!$A$5:$A$8</c:f>
              <c:strCache>
                <c:ptCount val="4"/>
                <c:pt idx="0">
                  <c:v>2023 Q1</c:v>
                </c:pt>
                <c:pt idx="1">
                  <c:v>2023 Q2</c:v>
                </c:pt>
                <c:pt idx="2">
                  <c:v>2026 Q2</c:v>
                </c:pt>
                <c:pt idx="3">
                  <c:v>2026 Q3</c:v>
                </c:pt>
              </c:strCache>
            </c:strRef>
          </c:cat>
          <c:val>
            <c:numRef>
              <c:f>Capacity!$K$5:$K$8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F09-4AE6-8EF4-2051DD602F08}"/>
            </c:ext>
          </c:extLst>
        </c:ser>
        <c:ser>
          <c:idx val="7"/>
          <c:order val="6"/>
          <c:tx>
            <c:strRef>
              <c:f>Capacity!$L$4</c:f>
              <c:strCache>
                <c:ptCount val="1"/>
                <c:pt idx="0">
                  <c:v>Functionality: Strategic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Capacity!$A$5:$A$8</c:f>
              <c:strCache>
                <c:ptCount val="4"/>
                <c:pt idx="0">
                  <c:v>2023 Q1</c:v>
                </c:pt>
                <c:pt idx="1">
                  <c:v>2023 Q2</c:v>
                </c:pt>
                <c:pt idx="2">
                  <c:v>2026 Q2</c:v>
                </c:pt>
                <c:pt idx="3">
                  <c:v>2026 Q3</c:v>
                </c:pt>
              </c:strCache>
            </c:strRef>
          </c:cat>
          <c:val>
            <c:numRef>
              <c:f>Capacity!$L$5:$L$8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F09-4AE6-8EF4-2051DD602F08}"/>
            </c:ext>
          </c:extLst>
        </c:ser>
        <c:ser>
          <c:idx val="8"/>
          <c:order val="7"/>
          <c:tx>
            <c:strRef>
              <c:f>Capacity!$M$4</c:f>
              <c:strCache>
                <c:ptCount val="1"/>
                <c:pt idx="0">
                  <c:v>Not specified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Capacity!$A$5:$A$8</c:f>
              <c:strCache>
                <c:ptCount val="4"/>
                <c:pt idx="0">
                  <c:v>2023 Q1</c:v>
                </c:pt>
                <c:pt idx="1">
                  <c:v>2023 Q2</c:v>
                </c:pt>
                <c:pt idx="2">
                  <c:v>2026 Q2</c:v>
                </c:pt>
                <c:pt idx="3">
                  <c:v>2026 Q3</c:v>
                </c:pt>
              </c:strCache>
            </c:strRef>
          </c:cat>
          <c:val>
            <c:numRef>
              <c:f>Capacity!$M$5:$M$8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F09-4AE6-8EF4-2051DD602F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538456240"/>
        <c:axId val="1538454160"/>
      </c:barChart>
      <c:catAx>
        <c:axId val="1538456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8454160"/>
        <c:crosses val="autoZero"/>
        <c:auto val="1"/>
        <c:lblAlgn val="ctr"/>
        <c:lblOffset val="100"/>
        <c:noMultiLvlLbl val="0"/>
      </c:catAx>
      <c:valAx>
        <c:axId val="1538454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8456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13</xdr:row>
      <xdr:rowOff>0</xdr:rowOff>
    </xdr:from>
    <xdr:to>
      <xdr:col>18</xdr:col>
      <xdr:colOff>151562</xdr:colOff>
      <xdr:row>28</xdr:row>
      <xdr:rowOff>26770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1200150</xdr:colOff>
      <xdr:row>29</xdr:row>
      <xdr:rowOff>155574</xdr:rowOff>
    </xdr:from>
    <xdr:to>
      <xdr:col>23</xdr:col>
      <xdr:colOff>209550</xdr:colOff>
      <xdr:row>52</xdr:row>
      <xdr:rowOff>190499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6520C5D-8016-12CE-D535-E0E8E7C47A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3" displayName="Table3" ref="A4:M11" totalsRowShown="0">
  <autoFilter ref="A4:M11" xr:uid="{00000000-0009-0000-0100-000002000000}"/>
  <tableColumns count="13">
    <tableColumn id="1" xr3:uid="{00000000-0010-0000-0000-000001000000}" name="Delivery"/>
    <tableColumn id="2" xr3:uid="{00000000-0010-0000-0000-000002000000}" name="Planned" dataDxfId="7">
      <calculatedColumnFormula>SUMIFS(EPICS_ESTIMATE, EPICS_PERIOD, $A5, EPICS_STATUS, "&lt;&gt;Done")</calculatedColumnFormula>
    </tableColumn>
    <tableColumn id="3" xr3:uid="{00000000-0010-0000-0000-000003000000}" name="Available">
      <calculatedColumnFormula>Parameters!I6</calculatedColumnFormula>
    </tableColumn>
    <tableColumn id="4" xr3:uid="{A0B7810D-02AD-4563-84FC-C5AB45C9F69A}" name="Done" dataDxfId="6">
      <calculatedColumnFormula>SUMIFS(EPICS_ESTIMATE, EPICS_PERIOD, $A5, EPICS_STATUS, "Done")</calculatedColumnFormula>
    </tableColumn>
    <tableColumn id="13" xr3:uid="{4396325F-6B3B-4FA3-9252-BDB13D7DB267}" name="Total" dataDxfId="5">
      <calculatedColumnFormula>SUM(Table3[[#This Row],[Done]], Table3[[#This Row],[Planned]])</calculatedColumnFormula>
    </tableColumn>
    <tableColumn id="5" xr3:uid="{420E4733-D818-4697-B4AC-49919F34E6A1}" name="Functionality: Tactical" dataDxfId="4">
      <calculatedColumnFormula>SUMIFS(EPICS_ESTIMATE, EPICS_PERIOD, $A5, EPICS_TYPE, F$4)</calculatedColumnFormula>
    </tableColumn>
    <tableColumn id="6" xr3:uid="{C298A470-F5E4-4C9D-A835-37621F5C7C5C}" name="Maintenance" dataDxfId="3">
      <calculatedColumnFormula>SUMIFS(EPICS_ESTIMATE, EPICS_PERIOD, $A5, EPICS_TYPE, G$4, EPICS_STATUS, "&lt;&gt;Done")</calculatedColumnFormula>
    </tableColumn>
    <tableColumn id="8" xr3:uid="{1E9537EA-C654-4C41-869E-4B20D36B1310}" name="Operations: Security" dataDxfId="2">
      <calculatedColumnFormula>SUMIFS(EPICS_ESTIMATE, EPICS_PERIOD, $A5, EPICS_TYPE, H$4, EPICS_STATUS, "&lt;&gt;Done")</calculatedColumnFormula>
    </tableColumn>
    <tableColumn id="11" xr3:uid="{AB5BDEA6-3CB3-4A95-AB00-2A8B4589EBDA}" name="Operations: Effectiveness">
      <calculatedColumnFormula>SUMIFS(EPICS_ESTIMATE, EPICS_PERIOD, $A5, EPICS_TYPE, I$4, EPICS_STATUS, "&lt;&gt;Done")</calculatedColumnFormula>
    </tableColumn>
    <tableColumn id="12" xr3:uid="{43175893-A88C-4A75-A227-8493825C6391}" name="Usability">
      <calculatedColumnFormula>SUMIFS(EPICS_ESTIMATE, EPICS_PERIOD, $A5, EPICS_TYPE, J$4, EPICS_STATUS, "&lt;&gt;Done")</calculatedColumnFormula>
    </tableColumn>
    <tableColumn id="10" xr3:uid="{38437634-015A-4968-B70A-73EC423821EB}" name="Performance">
      <calculatedColumnFormula>SUMIFS(EPICS_ESTIMATE, EPICS_PERIOD, $A5, EPICS_TYPE, K$4, EPICS_STATUS, "&lt;&gt;Done")</calculatedColumnFormula>
    </tableColumn>
    <tableColumn id="9" xr3:uid="{147563EA-0BC5-490E-A60D-F4734C5093BA}" name="Functionality: Strategic" dataDxfId="1">
      <calculatedColumnFormula>SUMIFS(EPICS_ESTIMATE, EPICS_PERIOD, $A5, EPICS_TYPE, L$4, EPICS_STATUS, "&lt;&gt;Done")</calculatedColumnFormula>
    </tableColumn>
    <tableColumn id="7" xr3:uid="{DC4CAD30-AA84-40FB-8366-4759F029E489}" name="Not specified" dataDxfId="0">
      <calculatedColumnFormula>Table3[[#This Row],[Total]]-SUM(F5:L5)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"/>
  <sheetViews>
    <sheetView tabSelected="1" topLeftCell="C1" zoomScale="120" zoomScaleNormal="120" workbookViewId="0">
      <selection activeCell="I6" sqref="I6"/>
    </sheetView>
  </sheetViews>
  <sheetFormatPr defaultColWidth="8.53125" defaultRowHeight="14.25" x14ac:dyDescent="0.45"/>
  <cols>
    <col min="1" max="1" width="18.73046875" customWidth="1"/>
    <col min="2" max="2" width="16.19921875" customWidth="1"/>
    <col min="3" max="3" width="15" customWidth="1"/>
    <col min="4" max="4" width="14.265625" customWidth="1"/>
    <col min="5" max="5" width="25.9296875" bestFit="1" customWidth="1"/>
    <col min="6" max="6" width="22.06640625" bestFit="1" customWidth="1"/>
    <col min="7" max="8" width="11.46484375" customWidth="1"/>
    <col min="9" max="9" width="14.19921875" customWidth="1"/>
    <col min="10" max="10" width="23.796875" customWidth="1"/>
  </cols>
  <sheetData>
    <row r="1" spans="1:13" ht="18" x14ac:dyDescent="0.55000000000000004">
      <c r="A1" s="13" t="s">
        <v>0</v>
      </c>
      <c r="B1" s="13"/>
      <c r="C1" s="13"/>
      <c r="D1" s="13"/>
    </row>
    <row r="2" spans="1:13" ht="14.25" customHeight="1" x14ac:dyDescent="0.45">
      <c r="A2" s="14" t="s">
        <v>1</v>
      </c>
      <c r="B2" s="14"/>
      <c r="C2" s="14"/>
      <c r="D2" s="14"/>
    </row>
    <row r="4" spans="1:13" ht="15" customHeight="1" x14ac:dyDescent="0.45">
      <c r="A4" s="12" t="s">
        <v>2</v>
      </c>
      <c r="B4" s="12" t="s">
        <v>164</v>
      </c>
      <c r="C4" s="12" t="s">
        <v>3</v>
      </c>
      <c r="D4" s="12" t="s">
        <v>4</v>
      </c>
      <c r="E4" s="12" t="s">
        <v>5</v>
      </c>
      <c r="F4" s="12" t="s">
        <v>166</v>
      </c>
      <c r="G4" s="12" t="s">
        <v>165</v>
      </c>
      <c r="H4" s="12" t="s">
        <v>6</v>
      </c>
      <c r="I4" s="12" t="s">
        <v>7</v>
      </c>
      <c r="J4" s="1" t="s">
        <v>8</v>
      </c>
    </row>
    <row r="5" spans="1:13" x14ac:dyDescent="0.45">
      <c r="A5" s="12"/>
      <c r="B5" s="12"/>
      <c r="C5" s="12"/>
      <c r="D5" s="12"/>
      <c r="E5" s="12"/>
      <c r="F5" s="12"/>
      <c r="G5" s="12"/>
      <c r="H5" s="12"/>
      <c r="I5" s="12"/>
      <c r="J5" s="1"/>
    </row>
    <row r="6" spans="1:13" x14ac:dyDescent="0.45">
      <c r="A6" s="3" t="s">
        <v>212</v>
      </c>
      <c r="B6" s="4">
        <v>45931</v>
      </c>
      <c r="C6" s="4">
        <v>46022</v>
      </c>
      <c r="D6" s="5">
        <v>0.7</v>
      </c>
      <c r="E6" s="6">
        <f>(C6-B6)/7/2</f>
        <v>6.5</v>
      </c>
      <c r="F6" s="6">
        <v>0.5</v>
      </c>
      <c r="G6" s="6">
        <f>E6-F6</f>
        <v>6</v>
      </c>
      <c r="H6" s="7">
        <v>180</v>
      </c>
      <c r="I6" s="7">
        <f>H6*G6*D6</f>
        <v>756</v>
      </c>
      <c r="J6" s="2"/>
    </row>
    <row r="7" spans="1:13" x14ac:dyDescent="0.45">
      <c r="A7" s="3" t="s">
        <v>214</v>
      </c>
      <c r="B7" s="4">
        <f>C6</f>
        <v>46022</v>
      </c>
      <c r="C7" s="4">
        <v>46112</v>
      </c>
      <c r="D7" s="5">
        <v>0.6</v>
      </c>
      <c r="E7" s="6">
        <f t="shared" ref="E7:E9" si="0">(C7-B7)/7/2</f>
        <v>6.4285714285714288</v>
      </c>
      <c r="F7" s="6">
        <v>0</v>
      </c>
      <c r="G7" s="6">
        <f t="shared" ref="G7:G9" si="1">E7-F7</f>
        <v>6.4285714285714288</v>
      </c>
      <c r="H7" s="7">
        <v>200</v>
      </c>
      <c r="I7" s="7">
        <f t="shared" ref="I7:I9" si="2">H7*G7*D7</f>
        <v>771.42857142857144</v>
      </c>
      <c r="J7" s="2"/>
      <c r="M7" s="10" t="s">
        <v>160</v>
      </c>
    </row>
    <row r="8" spans="1:13" x14ac:dyDescent="0.45">
      <c r="A8" s="3" t="s">
        <v>215</v>
      </c>
      <c r="B8" s="4">
        <f>C7</f>
        <v>46112</v>
      </c>
      <c r="C8" s="4">
        <v>46203</v>
      </c>
      <c r="D8" s="5">
        <v>0.5</v>
      </c>
      <c r="E8" s="6">
        <f t="shared" si="0"/>
        <v>6.5</v>
      </c>
      <c r="F8" s="6">
        <v>0.5</v>
      </c>
      <c r="G8" s="6">
        <f t="shared" si="1"/>
        <v>6</v>
      </c>
      <c r="H8" s="7">
        <v>200</v>
      </c>
      <c r="I8" s="7">
        <f t="shared" si="2"/>
        <v>600</v>
      </c>
      <c r="J8" s="2"/>
    </row>
    <row r="9" spans="1:13" x14ac:dyDescent="0.45">
      <c r="A9" s="3" t="s">
        <v>216</v>
      </c>
      <c r="B9" s="4">
        <f t="shared" ref="B9" si="3">C8</f>
        <v>46203</v>
      </c>
      <c r="C9" s="4">
        <v>46295</v>
      </c>
      <c r="D9" s="5">
        <v>0.5</v>
      </c>
      <c r="E9" s="6">
        <f t="shared" si="0"/>
        <v>6.5714285714285712</v>
      </c>
      <c r="F9" s="6">
        <v>0</v>
      </c>
      <c r="G9" s="6">
        <f t="shared" si="1"/>
        <v>6.5714285714285712</v>
      </c>
      <c r="H9" s="7">
        <v>200</v>
      </c>
      <c r="I9" s="7">
        <f t="shared" si="2"/>
        <v>657.14285714285711</v>
      </c>
      <c r="J9" s="2"/>
    </row>
    <row r="10" spans="1:13" x14ac:dyDescent="0.45">
      <c r="A10" s="3" t="s">
        <v>213</v>
      </c>
      <c r="B10" s="4">
        <f t="shared" ref="B10" si="4">C9</f>
        <v>46295</v>
      </c>
      <c r="C10" s="4">
        <v>46387</v>
      </c>
      <c r="D10" s="5">
        <v>0.5</v>
      </c>
      <c r="E10" s="6">
        <f t="shared" ref="E10" si="5">(C10-B10)/7/2</f>
        <v>6.5714285714285712</v>
      </c>
      <c r="F10" s="6">
        <v>0.5</v>
      </c>
      <c r="G10" s="6">
        <f t="shared" ref="G10" si="6">E10-F10</f>
        <v>6.0714285714285712</v>
      </c>
      <c r="H10" s="7">
        <v>200</v>
      </c>
      <c r="I10" s="7">
        <f t="shared" ref="I10" si="7">H10*G10*D10</f>
        <v>607.14285714285711</v>
      </c>
      <c r="J10" s="2"/>
    </row>
  </sheetData>
  <mergeCells count="11">
    <mergeCell ref="H4:H5"/>
    <mergeCell ref="I4:I5"/>
    <mergeCell ref="A1:D1"/>
    <mergeCell ref="A2:D2"/>
    <mergeCell ref="A4:A5"/>
    <mergeCell ref="C4:C5"/>
    <mergeCell ref="D4:D5"/>
    <mergeCell ref="E4:E5"/>
    <mergeCell ref="B4:B5"/>
    <mergeCell ref="F4:F5"/>
    <mergeCell ref="G4:G5"/>
  </mergeCells>
  <phoneticPr fontId="6" type="noConversion"/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M11"/>
  <sheetViews>
    <sheetView topLeftCell="F1" zoomScale="115" zoomScaleNormal="115" workbookViewId="0">
      <selection activeCell="D5" sqref="D5:D7"/>
    </sheetView>
  </sheetViews>
  <sheetFormatPr defaultColWidth="8.53125" defaultRowHeight="14.25" x14ac:dyDescent="0.45"/>
  <cols>
    <col min="1" max="1" width="22.796875" customWidth="1"/>
    <col min="2" max="2" width="12.53125" customWidth="1"/>
    <col min="3" max="5" width="15.46484375" customWidth="1"/>
    <col min="6" max="6" width="32.53125" customWidth="1"/>
    <col min="7" max="12" width="15.46484375" customWidth="1"/>
    <col min="13" max="13" width="26.19921875" customWidth="1"/>
  </cols>
  <sheetData>
    <row r="4" spans="1:13" x14ac:dyDescent="0.45">
      <c r="A4" t="s">
        <v>11</v>
      </c>
      <c r="B4" t="s">
        <v>12</v>
      </c>
      <c r="C4" t="s">
        <v>13</v>
      </c>
      <c r="D4" t="s">
        <v>27</v>
      </c>
      <c r="E4" t="s">
        <v>180</v>
      </c>
      <c r="F4" t="s">
        <v>95</v>
      </c>
      <c r="G4" t="s">
        <v>37</v>
      </c>
      <c r="H4" t="s">
        <v>84</v>
      </c>
      <c r="I4" t="s">
        <v>87</v>
      </c>
      <c r="J4" t="s">
        <v>96</v>
      </c>
      <c r="K4" t="s">
        <v>74</v>
      </c>
      <c r="L4" t="s">
        <v>73</v>
      </c>
      <c r="M4" t="s">
        <v>52</v>
      </c>
    </row>
    <row r="5" spans="1:13" x14ac:dyDescent="0.45">
      <c r="A5" s="8" t="s">
        <v>9</v>
      </c>
      <c r="B5">
        <f t="shared" ref="B5:B11" si="0">SUMIFS(EPICS_ESTIMATE, EPICS_PERIOD, $A5, EPICS_STATUS, "&lt;&gt;Done")</f>
        <v>0</v>
      </c>
      <c r="C5" s="9">
        <f>Parameters!I6</f>
        <v>756</v>
      </c>
      <c r="D5">
        <f t="shared" ref="D5:D11" si="1">SUMIFS(EPICS_ESTIMATE, EPICS_PERIOD, $A5, EPICS_STATUS, "Done")</f>
        <v>0</v>
      </c>
      <c r="E5" s="11">
        <f>SUM(Table3[[#This Row],[Done]], Table3[[#This Row],[Planned]])</f>
        <v>0</v>
      </c>
      <c r="F5">
        <f t="shared" ref="F5:L8" si="2">SUMIFS(EPICS_ESTIMATE, EPICS_PERIOD, $A5, EPICS_TYPE, F$4)</f>
        <v>0</v>
      </c>
      <c r="G5">
        <f t="shared" si="2"/>
        <v>0</v>
      </c>
      <c r="H5">
        <f t="shared" si="2"/>
        <v>0</v>
      </c>
      <c r="I5">
        <f t="shared" si="2"/>
        <v>0</v>
      </c>
      <c r="J5">
        <f t="shared" si="2"/>
        <v>0</v>
      </c>
      <c r="K5">
        <f t="shared" si="2"/>
        <v>0</v>
      </c>
      <c r="L5">
        <f t="shared" si="2"/>
        <v>0</v>
      </c>
      <c r="M5">
        <f>Table3[[#This Row],[Total]]-SUM(F5:L5)</f>
        <v>0</v>
      </c>
    </row>
    <row r="6" spans="1:13" x14ac:dyDescent="0.45">
      <c r="A6" s="8" t="s">
        <v>10</v>
      </c>
      <c r="B6">
        <f t="shared" si="0"/>
        <v>0</v>
      </c>
      <c r="C6" s="9">
        <f>Parameters!I7</f>
        <v>771.42857142857144</v>
      </c>
      <c r="D6">
        <f t="shared" si="1"/>
        <v>0</v>
      </c>
      <c r="E6" s="11">
        <f>SUM(Table3[[#This Row],[Done]], Table3[[#This Row],[Planned]])</f>
        <v>0</v>
      </c>
      <c r="F6">
        <f t="shared" si="2"/>
        <v>0</v>
      </c>
      <c r="G6">
        <f t="shared" si="2"/>
        <v>0</v>
      </c>
      <c r="H6">
        <f t="shared" si="2"/>
        <v>0</v>
      </c>
      <c r="I6">
        <f t="shared" si="2"/>
        <v>0</v>
      </c>
      <c r="J6">
        <f t="shared" si="2"/>
        <v>0</v>
      </c>
      <c r="K6">
        <f t="shared" si="2"/>
        <v>0</v>
      </c>
      <c r="L6">
        <f t="shared" si="2"/>
        <v>0</v>
      </c>
      <c r="M6">
        <f>Table3[[#This Row],[Total]]-SUM(F6:L6)</f>
        <v>0</v>
      </c>
    </row>
    <row r="7" spans="1:13" x14ac:dyDescent="0.45">
      <c r="A7" s="8" t="str">
        <f>Parameters!A8</f>
        <v>2026 Q2</v>
      </c>
      <c r="B7">
        <f t="shared" si="0"/>
        <v>0</v>
      </c>
      <c r="C7" s="9">
        <f>Parameters!I8</f>
        <v>600</v>
      </c>
      <c r="D7">
        <f t="shared" si="1"/>
        <v>0</v>
      </c>
      <c r="E7" s="11">
        <f>SUM(Table3[[#This Row],[Done]], Table3[[#This Row],[Planned]])</f>
        <v>0</v>
      </c>
      <c r="F7">
        <f t="shared" si="2"/>
        <v>0</v>
      </c>
      <c r="G7">
        <f t="shared" si="2"/>
        <v>0</v>
      </c>
      <c r="H7">
        <f t="shared" si="2"/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>Table3[[#This Row],[Total]]-SUM(F7:L7)</f>
        <v>0</v>
      </c>
    </row>
    <row r="8" spans="1:13" x14ac:dyDescent="0.45">
      <c r="A8" s="8" t="str">
        <f>Parameters!A9</f>
        <v>2026 Q3</v>
      </c>
      <c r="B8">
        <f t="shared" si="0"/>
        <v>0</v>
      </c>
      <c r="C8" s="9">
        <f>Parameters!I9</f>
        <v>657.14285714285711</v>
      </c>
      <c r="D8">
        <f t="shared" si="1"/>
        <v>0</v>
      </c>
      <c r="E8" s="11">
        <f>SUM(Table3[[#This Row],[Done]], Table3[[#This Row],[Planned]])</f>
        <v>0</v>
      </c>
      <c r="F8">
        <f t="shared" si="2"/>
        <v>0</v>
      </c>
      <c r="G8">
        <f t="shared" si="2"/>
        <v>0</v>
      </c>
      <c r="H8">
        <f t="shared" si="2"/>
        <v>0</v>
      </c>
      <c r="I8">
        <f t="shared" si="2"/>
        <v>0</v>
      </c>
      <c r="J8">
        <f t="shared" si="2"/>
        <v>0</v>
      </c>
      <c r="K8">
        <f t="shared" si="2"/>
        <v>0</v>
      </c>
      <c r="L8">
        <f t="shared" si="2"/>
        <v>0</v>
      </c>
      <c r="M8">
        <f>Table3[[#This Row],[Total]]-SUM(F8:L8)</f>
        <v>0</v>
      </c>
    </row>
    <row r="9" spans="1:13" x14ac:dyDescent="0.45">
      <c r="A9" s="8" t="s">
        <v>210</v>
      </c>
      <c r="B9">
        <f t="shared" si="0"/>
        <v>0</v>
      </c>
      <c r="C9" s="9">
        <f>Parameters!I10</f>
        <v>607.14285714285711</v>
      </c>
      <c r="D9">
        <f t="shared" si="1"/>
        <v>0</v>
      </c>
      <c r="E9" s="11">
        <f>SUM(Table3[[#This Row],[Done]], Table3[[#This Row],[Planned]])</f>
        <v>0</v>
      </c>
      <c r="F9">
        <f>SUMIFS(EPICS_ESTIMATE, EPICS_PERIOD, $A9, EPICS_TYPE, F$4)</f>
        <v>0</v>
      </c>
      <c r="G9">
        <f t="shared" ref="G9:L10" si="3">SUMIFS(EPICS_ESTIMATE, EPICS_PERIOD, $A9, EPICS_TYPE, G$4, EPICS_STATUS, "&lt;&gt;Done")</f>
        <v>0</v>
      </c>
      <c r="H9">
        <f t="shared" si="3"/>
        <v>0</v>
      </c>
      <c r="I9">
        <f t="shared" si="3"/>
        <v>0</v>
      </c>
      <c r="J9">
        <f t="shared" si="3"/>
        <v>0</v>
      </c>
      <c r="K9">
        <f t="shared" si="3"/>
        <v>0</v>
      </c>
      <c r="L9">
        <f t="shared" si="3"/>
        <v>0</v>
      </c>
      <c r="M9">
        <f>Table3[[#This Row],[Total]]-SUM(F9:L9)</f>
        <v>0</v>
      </c>
    </row>
    <row r="10" spans="1:13" x14ac:dyDescent="0.45">
      <c r="A10" s="8" t="s">
        <v>211</v>
      </c>
      <c r="B10">
        <f t="shared" si="0"/>
        <v>0</v>
      </c>
      <c r="C10" s="9">
        <f>Parameters!I10</f>
        <v>607.14285714285711</v>
      </c>
      <c r="D10">
        <f t="shared" si="1"/>
        <v>0</v>
      </c>
      <c r="E10" s="11">
        <f>SUM(Table3[[#This Row],[Done]], Table3[[#This Row],[Planned]])</f>
        <v>0</v>
      </c>
      <c r="F10">
        <f>SUMIFS(EPICS_ESTIMATE, EPICS_PERIOD, $A10, EPICS_TYPE, F$4)</f>
        <v>0</v>
      </c>
      <c r="G10">
        <f t="shared" si="3"/>
        <v>0</v>
      </c>
      <c r="H10">
        <f t="shared" si="3"/>
        <v>0</v>
      </c>
      <c r="I10">
        <f t="shared" si="3"/>
        <v>0</v>
      </c>
      <c r="J10">
        <f t="shared" si="3"/>
        <v>0</v>
      </c>
      <c r="K10">
        <f t="shared" si="3"/>
        <v>0</v>
      </c>
      <c r="L10">
        <f t="shared" si="3"/>
        <v>0</v>
      </c>
      <c r="M10">
        <f>Table3[[#This Row],[Total]]-SUM(F10:L10)</f>
        <v>0</v>
      </c>
    </row>
    <row r="11" spans="1:13" x14ac:dyDescent="0.45">
      <c r="A11" s="8" t="e">
        <f>Parameters!#REF!</f>
        <v>#REF!</v>
      </c>
      <c r="B11">
        <f t="shared" si="0"/>
        <v>0</v>
      </c>
      <c r="C11" t="e">
        <f>Parameters!#REF!</f>
        <v>#REF!</v>
      </c>
      <c r="D11">
        <f t="shared" si="1"/>
        <v>0</v>
      </c>
      <c r="E11" s="11">
        <f>SUM(Table3[[#This Row],[Done]], Table3[[#This Row],[Planned]])</f>
        <v>0</v>
      </c>
      <c r="F11">
        <f>SUMIFS(EPICS_ESTIMATE, EPICS_PERIOD, $A11, EPICS_TYPE, F$4)</f>
        <v>0</v>
      </c>
      <c r="G11">
        <f t="shared" ref="G11:L11" si="4">SUMIFS(EPICS_ESTIMATE, EPICS_PERIOD, $A11, EPICS_TYPE, G$4, EPICS_STATUS, "&lt;&gt;Done")</f>
        <v>0</v>
      </c>
      <c r="H11">
        <f t="shared" si="4"/>
        <v>0</v>
      </c>
      <c r="I11">
        <f t="shared" si="4"/>
        <v>0</v>
      </c>
      <c r="J11">
        <f t="shared" si="4"/>
        <v>0</v>
      </c>
      <c r="K11">
        <f t="shared" si="4"/>
        <v>0</v>
      </c>
      <c r="L11">
        <f t="shared" si="4"/>
        <v>0</v>
      </c>
      <c r="M11">
        <f>Table3[[#This Row],[Total]]-SUM(F11:L11)</f>
        <v>0</v>
      </c>
    </row>
  </sheetData>
  <pageMargins left="0.7" right="0.7" top="0.75" bottom="0.75" header="0.511811023622047" footer="0.511811023622047"/>
  <pageSetup paperSize="9" orientation="portrait" horizontalDpi="300" verticalDpi="300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DC3D3-F51C-4A1C-8876-FB0FD1045D79}">
  <dimension ref="A1:L518"/>
  <sheetViews>
    <sheetView workbookViewId="0">
      <selection activeCell="A10" sqref="A10"/>
    </sheetView>
  </sheetViews>
  <sheetFormatPr defaultRowHeight="14.25" x14ac:dyDescent="0.45"/>
  <cols>
    <col min="1" max="1" width="42.6640625" customWidth="1"/>
    <col min="2" max="2" width="26.6640625" customWidth="1"/>
    <col min="3" max="3" width="53.33203125" customWidth="1"/>
    <col min="4" max="4" width="100.265625" customWidth="1"/>
    <col min="5" max="5" width="17.06640625" customWidth="1"/>
    <col min="6" max="6" width="10.6640625" customWidth="1"/>
    <col min="7" max="7" width="48" customWidth="1"/>
    <col min="8" max="8" width="7.46484375" customWidth="1"/>
    <col min="9" max="9" width="10.6640625" customWidth="1"/>
    <col min="10" max="10" width="37.33203125" customWidth="1"/>
    <col min="11" max="11" width="10.6640625" customWidth="1"/>
  </cols>
  <sheetData>
    <row r="1" spans="1:12" x14ac:dyDescent="0.45">
      <c r="A1" t="s">
        <v>22</v>
      </c>
      <c r="B1" t="s">
        <v>14</v>
      </c>
      <c r="C1" t="s">
        <v>15</v>
      </c>
      <c r="D1" t="s">
        <v>16</v>
      </c>
      <c r="E1" t="s">
        <v>17</v>
      </c>
      <c r="F1" t="s">
        <v>21</v>
      </c>
      <c r="G1" t="s">
        <v>109</v>
      </c>
      <c r="H1" t="s">
        <v>18</v>
      </c>
      <c r="I1" t="s">
        <v>19</v>
      </c>
      <c r="J1" t="s">
        <v>20</v>
      </c>
      <c r="K1" t="s">
        <v>23</v>
      </c>
      <c r="L1" t="s">
        <v>109</v>
      </c>
    </row>
    <row r="2" spans="1:12" x14ac:dyDescent="0.45">
      <c r="A2" t="s">
        <v>217</v>
      </c>
      <c r="B2" t="s">
        <v>24</v>
      </c>
      <c r="C2" t="s">
        <v>25</v>
      </c>
      <c r="D2" t="s">
        <v>218</v>
      </c>
      <c r="E2" t="s">
        <v>131</v>
      </c>
      <c r="F2" t="s">
        <v>219</v>
      </c>
    </row>
    <row r="3" spans="1:12" x14ac:dyDescent="0.45">
      <c r="B3" t="s">
        <v>24</v>
      </c>
      <c r="C3" t="s">
        <v>25</v>
      </c>
      <c r="D3" t="s">
        <v>220</v>
      </c>
      <c r="E3" t="s">
        <v>131</v>
      </c>
      <c r="F3" t="s">
        <v>221</v>
      </c>
    </row>
    <row r="4" spans="1:12" x14ac:dyDescent="0.45">
      <c r="A4" t="s">
        <v>217</v>
      </c>
      <c r="B4" t="s">
        <v>24</v>
      </c>
      <c r="C4" t="s">
        <v>25</v>
      </c>
      <c r="D4" t="s">
        <v>222</v>
      </c>
      <c r="E4" t="s">
        <v>131</v>
      </c>
      <c r="F4" t="s">
        <v>221</v>
      </c>
    </row>
    <row r="5" spans="1:12" x14ac:dyDescent="0.45">
      <c r="A5" t="s">
        <v>46</v>
      </c>
      <c r="B5" t="s">
        <v>24</v>
      </c>
      <c r="C5" t="s">
        <v>25</v>
      </c>
      <c r="D5" t="s">
        <v>223</v>
      </c>
      <c r="E5" t="s">
        <v>40</v>
      </c>
      <c r="F5" t="s">
        <v>219</v>
      </c>
    </row>
    <row r="6" spans="1:12" x14ac:dyDescent="0.45">
      <c r="A6" t="s">
        <v>46</v>
      </c>
      <c r="B6" t="s">
        <v>24</v>
      </c>
      <c r="C6" t="s">
        <v>25</v>
      </c>
      <c r="D6" t="s">
        <v>224</v>
      </c>
      <c r="E6" t="s">
        <v>131</v>
      </c>
    </row>
    <row r="7" spans="1:12" x14ac:dyDescent="0.45">
      <c r="A7" t="s">
        <v>32</v>
      </c>
      <c r="B7" t="s">
        <v>24</v>
      </c>
      <c r="C7" t="s">
        <v>25</v>
      </c>
      <c r="D7" t="s">
        <v>225</v>
      </c>
      <c r="E7" t="s">
        <v>131</v>
      </c>
      <c r="F7" t="s">
        <v>219</v>
      </c>
    </row>
    <row r="8" spans="1:12" x14ac:dyDescent="0.45">
      <c r="A8" t="s">
        <v>46</v>
      </c>
      <c r="B8" t="s">
        <v>24</v>
      </c>
      <c r="C8" t="s">
        <v>226</v>
      </c>
      <c r="D8" t="s">
        <v>227</v>
      </c>
      <c r="E8" t="s">
        <v>40</v>
      </c>
      <c r="F8" t="s">
        <v>219</v>
      </c>
    </row>
    <row r="9" spans="1:12" x14ac:dyDescent="0.45">
      <c r="B9" t="s">
        <v>24</v>
      </c>
      <c r="C9" t="s">
        <v>25</v>
      </c>
      <c r="D9" t="s">
        <v>228</v>
      </c>
      <c r="E9" t="s">
        <v>40</v>
      </c>
      <c r="F9" t="s">
        <v>229</v>
      </c>
    </row>
    <row r="10" spans="1:12" x14ac:dyDescent="0.45">
      <c r="A10" t="s">
        <v>217</v>
      </c>
      <c r="B10" t="s">
        <v>24</v>
      </c>
      <c r="C10" t="s">
        <v>25</v>
      </c>
      <c r="D10" t="s">
        <v>230</v>
      </c>
      <c r="E10" t="s">
        <v>29</v>
      </c>
      <c r="F10" t="s">
        <v>219</v>
      </c>
      <c r="G10" t="s">
        <v>231</v>
      </c>
    </row>
    <row r="11" spans="1:12" x14ac:dyDescent="0.45">
      <c r="A11" t="s">
        <v>69</v>
      </c>
      <c r="B11" t="s">
        <v>24</v>
      </c>
      <c r="C11" t="s">
        <v>25</v>
      </c>
      <c r="D11" t="s">
        <v>232</v>
      </c>
      <c r="E11" t="s">
        <v>131</v>
      </c>
      <c r="F11" t="s">
        <v>219</v>
      </c>
    </row>
    <row r="12" spans="1:12" x14ac:dyDescent="0.45">
      <c r="A12" t="s">
        <v>217</v>
      </c>
      <c r="B12" t="s">
        <v>24</v>
      </c>
      <c r="C12" t="s">
        <v>25</v>
      </c>
      <c r="D12" t="s">
        <v>233</v>
      </c>
      <c r="E12" t="s">
        <v>40</v>
      </c>
      <c r="F12" t="s">
        <v>219</v>
      </c>
    </row>
    <row r="13" spans="1:12" x14ac:dyDescent="0.45">
      <c r="A13" t="s">
        <v>234</v>
      </c>
      <c r="B13" t="s">
        <v>24</v>
      </c>
      <c r="C13" t="s">
        <v>25</v>
      </c>
      <c r="D13" t="s">
        <v>235</v>
      </c>
      <c r="E13" t="s">
        <v>29</v>
      </c>
      <c r="F13" t="s">
        <v>219</v>
      </c>
    </row>
    <row r="14" spans="1:12" x14ac:dyDescent="0.45">
      <c r="B14" t="s">
        <v>24</v>
      </c>
      <c r="C14" t="s">
        <v>25</v>
      </c>
      <c r="D14" t="s">
        <v>236</v>
      </c>
      <c r="E14" t="s">
        <v>131</v>
      </c>
      <c r="F14" t="s">
        <v>221</v>
      </c>
    </row>
    <row r="15" spans="1:12" x14ac:dyDescent="0.45">
      <c r="A15" t="s">
        <v>237</v>
      </c>
      <c r="B15" t="s">
        <v>24</v>
      </c>
      <c r="C15" t="s">
        <v>118</v>
      </c>
      <c r="D15" t="s">
        <v>238</v>
      </c>
      <c r="E15" t="s">
        <v>40</v>
      </c>
      <c r="F15" t="s">
        <v>221</v>
      </c>
      <c r="L15" t="s">
        <v>110</v>
      </c>
    </row>
    <row r="16" spans="1:12" x14ac:dyDescent="0.45">
      <c r="A16" t="s">
        <v>239</v>
      </c>
      <c r="B16" t="s">
        <v>24</v>
      </c>
      <c r="C16" t="s">
        <v>178</v>
      </c>
      <c r="D16" t="s">
        <v>240</v>
      </c>
      <c r="E16" t="s">
        <v>29</v>
      </c>
      <c r="F16" t="s">
        <v>221</v>
      </c>
      <c r="G16" t="s">
        <v>241</v>
      </c>
    </row>
    <row r="17" spans="1:9" x14ac:dyDescent="0.45">
      <c r="A17" t="s">
        <v>242</v>
      </c>
      <c r="B17" t="s">
        <v>24</v>
      </c>
      <c r="C17" t="s">
        <v>118</v>
      </c>
      <c r="D17" t="s">
        <v>243</v>
      </c>
      <c r="E17" t="s">
        <v>29</v>
      </c>
      <c r="F17" t="s">
        <v>219</v>
      </c>
    </row>
    <row r="18" spans="1:9" x14ac:dyDescent="0.45">
      <c r="B18" t="s">
        <v>24</v>
      </c>
      <c r="C18" t="s">
        <v>25</v>
      </c>
      <c r="D18" t="s">
        <v>244</v>
      </c>
      <c r="E18" t="s">
        <v>245</v>
      </c>
    </row>
    <row r="19" spans="1:9" x14ac:dyDescent="0.45">
      <c r="A19" t="s">
        <v>237</v>
      </c>
      <c r="B19" t="s">
        <v>24</v>
      </c>
      <c r="C19" t="s">
        <v>25</v>
      </c>
      <c r="D19" t="s">
        <v>246</v>
      </c>
      <c r="E19" t="s">
        <v>131</v>
      </c>
    </row>
    <row r="20" spans="1:9" x14ac:dyDescent="0.45">
      <c r="A20" t="s">
        <v>247</v>
      </c>
      <c r="B20" t="s">
        <v>24</v>
      </c>
      <c r="C20" t="s">
        <v>25</v>
      </c>
      <c r="D20" t="s">
        <v>248</v>
      </c>
      <c r="E20" t="s">
        <v>40</v>
      </c>
      <c r="F20" t="s">
        <v>221</v>
      </c>
      <c r="G20" t="s">
        <v>231</v>
      </c>
      <c r="H20" t="s">
        <v>211</v>
      </c>
    </row>
    <row r="21" spans="1:9" x14ac:dyDescent="0.45">
      <c r="B21" t="s">
        <v>24</v>
      </c>
      <c r="C21" t="s">
        <v>25</v>
      </c>
      <c r="D21" t="s">
        <v>249</v>
      </c>
      <c r="E21" t="s">
        <v>40</v>
      </c>
      <c r="F21" t="s">
        <v>221</v>
      </c>
      <c r="G21" t="s">
        <v>250</v>
      </c>
      <c r="H21" t="s">
        <v>211</v>
      </c>
      <c r="I21">
        <v>30</v>
      </c>
    </row>
    <row r="22" spans="1:9" x14ac:dyDescent="0.45">
      <c r="B22" t="s">
        <v>24</v>
      </c>
      <c r="C22" t="s">
        <v>25</v>
      </c>
      <c r="D22" t="s">
        <v>132</v>
      </c>
      <c r="E22" t="s">
        <v>245</v>
      </c>
      <c r="H22" t="s">
        <v>251</v>
      </c>
    </row>
    <row r="23" spans="1:9" x14ac:dyDescent="0.45">
      <c r="B23" t="s">
        <v>24</v>
      </c>
      <c r="C23" t="s">
        <v>25</v>
      </c>
      <c r="D23" t="s">
        <v>171</v>
      </c>
      <c r="E23" t="s">
        <v>245</v>
      </c>
      <c r="H23" t="s">
        <v>211</v>
      </c>
      <c r="I23">
        <v>50</v>
      </c>
    </row>
    <row r="24" spans="1:9" x14ac:dyDescent="0.45">
      <c r="B24" t="s">
        <v>24</v>
      </c>
      <c r="C24" t="s">
        <v>25</v>
      </c>
      <c r="D24" t="s">
        <v>252</v>
      </c>
      <c r="E24" t="s">
        <v>40</v>
      </c>
      <c r="F24" t="s">
        <v>229</v>
      </c>
      <c r="G24" t="s">
        <v>231</v>
      </c>
      <c r="H24" t="s">
        <v>211</v>
      </c>
      <c r="I24">
        <v>50</v>
      </c>
    </row>
    <row r="25" spans="1:9" x14ac:dyDescent="0.45">
      <c r="B25" t="s">
        <v>24</v>
      </c>
      <c r="C25" t="s">
        <v>25</v>
      </c>
      <c r="D25" t="s">
        <v>103</v>
      </c>
      <c r="E25" t="s">
        <v>245</v>
      </c>
      <c r="H25" t="s">
        <v>251</v>
      </c>
      <c r="I25">
        <v>80</v>
      </c>
    </row>
    <row r="26" spans="1:9" x14ac:dyDescent="0.45">
      <c r="B26" t="s">
        <v>24</v>
      </c>
      <c r="C26" t="s">
        <v>25</v>
      </c>
      <c r="D26" t="s">
        <v>253</v>
      </c>
      <c r="E26" t="s">
        <v>245</v>
      </c>
    </row>
    <row r="27" spans="1:9" x14ac:dyDescent="0.45">
      <c r="A27" t="s">
        <v>32</v>
      </c>
      <c r="B27" t="s">
        <v>24</v>
      </c>
      <c r="C27" t="s">
        <v>254</v>
      </c>
      <c r="D27" t="s">
        <v>255</v>
      </c>
      <c r="E27" t="s">
        <v>27</v>
      </c>
      <c r="F27" t="s">
        <v>256</v>
      </c>
    </row>
    <row r="28" spans="1:9" x14ac:dyDescent="0.45">
      <c r="B28" t="s">
        <v>24</v>
      </c>
      <c r="C28" t="s">
        <v>257</v>
      </c>
      <c r="D28" t="s">
        <v>258</v>
      </c>
      <c r="E28" t="s">
        <v>27</v>
      </c>
      <c r="F28" t="s">
        <v>256</v>
      </c>
      <c r="G28" t="s">
        <v>231</v>
      </c>
    </row>
    <row r="29" spans="1:9" x14ac:dyDescent="0.45">
      <c r="B29" t="s">
        <v>24</v>
      </c>
      <c r="C29" t="s">
        <v>25</v>
      </c>
      <c r="D29" t="s">
        <v>259</v>
      </c>
      <c r="E29" t="s">
        <v>27</v>
      </c>
      <c r="F29" t="s">
        <v>260</v>
      </c>
    </row>
    <row r="30" spans="1:9" x14ac:dyDescent="0.45">
      <c r="B30" t="s">
        <v>24</v>
      </c>
      <c r="C30" t="s">
        <v>25</v>
      </c>
      <c r="D30" t="s">
        <v>261</v>
      </c>
      <c r="E30" t="s">
        <v>27</v>
      </c>
      <c r="F30" t="s">
        <v>262</v>
      </c>
    </row>
    <row r="31" spans="1:9" x14ac:dyDescent="0.45">
      <c r="B31" t="s">
        <v>24</v>
      </c>
      <c r="C31" t="s">
        <v>25</v>
      </c>
      <c r="D31" t="s">
        <v>263</v>
      </c>
      <c r="E31" t="s">
        <v>131</v>
      </c>
      <c r="F31" t="s">
        <v>221</v>
      </c>
    </row>
    <row r="32" spans="1:9" x14ac:dyDescent="0.45">
      <c r="B32" t="s">
        <v>24</v>
      </c>
      <c r="C32" t="s">
        <v>25</v>
      </c>
      <c r="D32" t="s">
        <v>264</v>
      </c>
      <c r="E32" t="s">
        <v>40</v>
      </c>
      <c r="F32" t="s">
        <v>221</v>
      </c>
      <c r="H32" t="s">
        <v>251</v>
      </c>
    </row>
    <row r="33" spans="1:10" x14ac:dyDescent="0.45">
      <c r="B33" t="s">
        <v>42</v>
      </c>
      <c r="C33" t="s">
        <v>43</v>
      </c>
      <c r="D33" t="s">
        <v>265</v>
      </c>
      <c r="E33" t="s">
        <v>40</v>
      </c>
      <c r="F33" t="s">
        <v>221</v>
      </c>
      <c r="J33" t="s">
        <v>266</v>
      </c>
    </row>
    <row r="34" spans="1:10" x14ac:dyDescent="0.45">
      <c r="B34" t="s">
        <v>24</v>
      </c>
      <c r="C34" t="s">
        <v>25</v>
      </c>
      <c r="D34" t="s">
        <v>267</v>
      </c>
      <c r="E34" t="s">
        <v>27</v>
      </c>
      <c r="F34" t="s">
        <v>262</v>
      </c>
    </row>
    <row r="35" spans="1:10" x14ac:dyDescent="0.45">
      <c r="B35" t="s">
        <v>24</v>
      </c>
      <c r="C35" t="s">
        <v>25</v>
      </c>
      <c r="D35" t="s">
        <v>268</v>
      </c>
      <c r="E35" t="s">
        <v>38</v>
      </c>
    </row>
    <row r="36" spans="1:10" x14ac:dyDescent="0.45">
      <c r="B36" t="s">
        <v>24</v>
      </c>
      <c r="C36" t="s">
        <v>25</v>
      </c>
      <c r="D36" t="s">
        <v>269</v>
      </c>
      <c r="E36" t="s">
        <v>131</v>
      </c>
      <c r="F36" t="s">
        <v>229</v>
      </c>
    </row>
    <row r="37" spans="1:10" x14ac:dyDescent="0.45">
      <c r="B37" t="s">
        <v>42</v>
      </c>
      <c r="C37" t="s">
        <v>270</v>
      </c>
      <c r="D37" t="s">
        <v>271</v>
      </c>
      <c r="E37" t="s">
        <v>131</v>
      </c>
      <c r="F37" t="s">
        <v>229</v>
      </c>
    </row>
    <row r="38" spans="1:10" x14ac:dyDescent="0.45">
      <c r="B38" t="s">
        <v>24</v>
      </c>
      <c r="C38" t="s">
        <v>25</v>
      </c>
      <c r="D38" t="s">
        <v>272</v>
      </c>
      <c r="E38" t="s">
        <v>29</v>
      </c>
      <c r="F38" t="s">
        <v>229</v>
      </c>
    </row>
    <row r="39" spans="1:10" x14ac:dyDescent="0.45">
      <c r="B39" t="s">
        <v>24</v>
      </c>
      <c r="C39" t="s">
        <v>178</v>
      </c>
      <c r="D39" t="s">
        <v>273</v>
      </c>
      <c r="E39" t="s">
        <v>131</v>
      </c>
      <c r="F39" t="s">
        <v>229</v>
      </c>
      <c r="G39" t="s">
        <v>274</v>
      </c>
    </row>
    <row r="40" spans="1:10" x14ac:dyDescent="0.45">
      <c r="B40" t="s">
        <v>24</v>
      </c>
      <c r="C40" t="s">
        <v>25</v>
      </c>
      <c r="D40" t="s">
        <v>275</v>
      </c>
      <c r="E40" t="s">
        <v>38</v>
      </c>
      <c r="F40" t="s">
        <v>229</v>
      </c>
    </row>
    <row r="41" spans="1:10" x14ac:dyDescent="0.45">
      <c r="B41" t="s">
        <v>24</v>
      </c>
      <c r="C41" t="s">
        <v>25</v>
      </c>
      <c r="D41" t="s">
        <v>276</v>
      </c>
      <c r="E41" t="s">
        <v>131</v>
      </c>
      <c r="F41" t="s">
        <v>229</v>
      </c>
    </row>
    <row r="42" spans="1:10" x14ac:dyDescent="0.45">
      <c r="B42" t="s">
        <v>24</v>
      </c>
      <c r="C42" t="s">
        <v>25</v>
      </c>
      <c r="D42" t="s">
        <v>277</v>
      </c>
      <c r="E42" t="s">
        <v>245</v>
      </c>
      <c r="F42" t="s">
        <v>229</v>
      </c>
      <c r="H42" t="s">
        <v>211</v>
      </c>
      <c r="I42">
        <v>80</v>
      </c>
    </row>
    <row r="43" spans="1:10" x14ac:dyDescent="0.45">
      <c r="B43" t="s">
        <v>24</v>
      </c>
      <c r="C43" t="s">
        <v>121</v>
      </c>
      <c r="D43" t="s">
        <v>278</v>
      </c>
      <c r="E43" t="s">
        <v>131</v>
      </c>
      <c r="F43" t="s">
        <v>229</v>
      </c>
    </row>
    <row r="44" spans="1:10" x14ac:dyDescent="0.45">
      <c r="B44" t="s">
        <v>24</v>
      </c>
      <c r="C44" t="s">
        <v>279</v>
      </c>
      <c r="D44" t="s">
        <v>280</v>
      </c>
      <c r="E44" t="s">
        <v>131</v>
      </c>
      <c r="F44" t="s">
        <v>229</v>
      </c>
      <c r="G44" t="s">
        <v>241</v>
      </c>
    </row>
    <row r="45" spans="1:10" x14ac:dyDescent="0.45">
      <c r="B45" t="s">
        <v>24</v>
      </c>
      <c r="C45" t="s">
        <v>178</v>
      </c>
      <c r="D45" t="s">
        <v>281</v>
      </c>
      <c r="E45" t="s">
        <v>27</v>
      </c>
      <c r="F45" t="s">
        <v>282</v>
      </c>
    </row>
    <row r="46" spans="1:10" x14ac:dyDescent="0.45">
      <c r="A46" t="s">
        <v>283</v>
      </c>
      <c r="B46" t="s">
        <v>24</v>
      </c>
      <c r="C46" t="s">
        <v>284</v>
      </c>
      <c r="D46" t="s">
        <v>285</v>
      </c>
      <c r="E46" t="s">
        <v>200</v>
      </c>
      <c r="F46" t="s">
        <v>229</v>
      </c>
    </row>
    <row r="47" spans="1:10" x14ac:dyDescent="0.45">
      <c r="B47" t="s">
        <v>42</v>
      </c>
      <c r="C47" t="s">
        <v>43</v>
      </c>
      <c r="D47" t="s">
        <v>286</v>
      </c>
      <c r="E47" t="s">
        <v>27</v>
      </c>
      <c r="F47" t="s">
        <v>287</v>
      </c>
    </row>
    <row r="48" spans="1:10" x14ac:dyDescent="0.45">
      <c r="A48" t="s">
        <v>72</v>
      </c>
      <c r="B48" t="s">
        <v>24</v>
      </c>
      <c r="C48" t="s">
        <v>25</v>
      </c>
      <c r="D48" t="s">
        <v>288</v>
      </c>
      <c r="E48" t="s">
        <v>27</v>
      </c>
      <c r="F48" t="s">
        <v>287</v>
      </c>
    </row>
    <row r="49" spans="1:9" x14ac:dyDescent="0.45">
      <c r="B49" t="s">
        <v>24</v>
      </c>
      <c r="C49" t="s">
        <v>25</v>
      </c>
      <c r="D49" t="s">
        <v>209</v>
      </c>
      <c r="E49" t="s">
        <v>27</v>
      </c>
      <c r="F49" t="s">
        <v>287</v>
      </c>
      <c r="G49" t="s">
        <v>289</v>
      </c>
      <c r="H49" t="s">
        <v>211</v>
      </c>
      <c r="I49">
        <v>30</v>
      </c>
    </row>
    <row r="50" spans="1:9" x14ac:dyDescent="0.45">
      <c r="B50" t="s">
        <v>24</v>
      </c>
      <c r="C50" t="s">
        <v>25</v>
      </c>
      <c r="D50" t="s">
        <v>290</v>
      </c>
      <c r="E50" t="s">
        <v>27</v>
      </c>
      <c r="F50" t="s">
        <v>287</v>
      </c>
    </row>
    <row r="51" spans="1:9" x14ac:dyDescent="0.45">
      <c r="A51" t="s">
        <v>72</v>
      </c>
      <c r="B51" t="s">
        <v>24</v>
      </c>
      <c r="C51" t="s">
        <v>291</v>
      </c>
      <c r="D51" t="s">
        <v>292</v>
      </c>
      <c r="E51" t="s">
        <v>131</v>
      </c>
      <c r="F51" t="s">
        <v>221</v>
      </c>
    </row>
    <row r="52" spans="1:9" x14ac:dyDescent="0.45">
      <c r="B52" t="s">
        <v>24</v>
      </c>
      <c r="C52" t="s">
        <v>25</v>
      </c>
      <c r="D52" t="s">
        <v>293</v>
      </c>
      <c r="E52" t="s">
        <v>27</v>
      </c>
      <c r="F52" t="s">
        <v>294</v>
      </c>
    </row>
    <row r="53" spans="1:9" x14ac:dyDescent="0.45">
      <c r="B53" t="s">
        <v>24</v>
      </c>
      <c r="C53" t="s">
        <v>25</v>
      </c>
      <c r="D53" t="s">
        <v>295</v>
      </c>
      <c r="E53" t="s">
        <v>131</v>
      </c>
      <c r="F53" t="s">
        <v>229</v>
      </c>
    </row>
    <row r="54" spans="1:9" x14ac:dyDescent="0.45">
      <c r="B54" t="s">
        <v>24</v>
      </c>
      <c r="C54" t="s">
        <v>178</v>
      </c>
      <c r="D54" t="s">
        <v>296</v>
      </c>
      <c r="E54" t="s">
        <v>131</v>
      </c>
      <c r="F54" t="s">
        <v>229</v>
      </c>
    </row>
    <row r="55" spans="1:9" x14ac:dyDescent="0.45">
      <c r="B55" t="s">
        <v>24</v>
      </c>
      <c r="C55" t="s">
        <v>297</v>
      </c>
      <c r="D55" t="s">
        <v>298</v>
      </c>
      <c r="E55" t="s">
        <v>40</v>
      </c>
      <c r="F55" t="s">
        <v>221</v>
      </c>
      <c r="G55" t="s">
        <v>299</v>
      </c>
    </row>
    <row r="56" spans="1:9" x14ac:dyDescent="0.45">
      <c r="B56" t="s">
        <v>24</v>
      </c>
      <c r="C56" t="s">
        <v>25</v>
      </c>
      <c r="D56" t="s">
        <v>300</v>
      </c>
      <c r="E56" t="s">
        <v>131</v>
      </c>
      <c r="G56" t="s">
        <v>301</v>
      </c>
    </row>
    <row r="57" spans="1:9" x14ac:dyDescent="0.45">
      <c r="B57" t="s">
        <v>24</v>
      </c>
      <c r="C57" t="s">
        <v>25</v>
      </c>
      <c r="D57" t="s">
        <v>302</v>
      </c>
      <c r="E57" t="s">
        <v>40</v>
      </c>
      <c r="G57" t="s">
        <v>303</v>
      </c>
      <c r="H57" t="s">
        <v>211</v>
      </c>
      <c r="I57">
        <v>30</v>
      </c>
    </row>
    <row r="58" spans="1:9" x14ac:dyDescent="0.45">
      <c r="A58" t="s">
        <v>304</v>
      </c>
      <c r="B58" t="s">
        <v>305</v>
      </c>
      <c r="C58" t="s">
        <v>306</v>
      </c>
      <c r="D58" t="s">
        <v>307</v>
      </c>
      <c r="E58" t="s">
        <v>131</v>
      </c>
    </row>
    <row r="59" spans="1:9" x14ac:dyDescent="0.45">
      <c r="B59" t="s">
        <v>24</v>
      </c>
      <c r="C59" t="s">
        <v>178</v>
      </c>
      <c r="D59" t="s">
        <v>308</v>
      </c>
      <c r="E59" t="s">
        <v>27</v>
      </c>
      <c r="G59" t="s">
        <v>250</v>
      </c>
    </row>
    <row r="60" spans="1:9" x14ac:dyDescent="0.45">
      <c r="B60" t="s">
        <v>24</v>
      </c>
      <c r="C60" t="s">
        <v>25</v>
      </c>
      <c r="D60" t="s">
        <v>309</v>
      </c>
      <c r="E60" t="s">
        <v>40</v>
      </c>
    </row>
    <row r="61" spans="1:9" x14ac:dyDescent="0.45">
      <c r="A61" t="s">
        <v>310</v>
      </c>
      <c r="B61" t="s">
        <v>24</v>
      </c>
      <c r="C61" t="s">
        <v>311</v>
      </c>
      <c r="D61" t="s">
        <v>312</v>
      </c>
      <c r="E61" t="s">
        <v>27</v>
      </c>
      <c r="F61" t="s">
        <v>294</v>
      </c>
    </row>
    <row r="62" spans="1:9" x14ac:dyDescent="0.45">
      <c r="B62" t="s">
        <v>24</v>
      </c>
      <c r="C62" t="s">
        <v>25</v>
      </c>
      <c r="D62" t="s">
        <v>313</v>
      </c>
      <c r="E62" t="s">
        <v>27</v>
      </c>
      <c r="F62" t="s">
        <v>314</v>
      </c>
    </row>
    <row r="63" spans="1:9" x14ac:dyDescent="0.45">
      <c r="A63" t="s">
        <v>32</v>
      </c>
      <c r="B63" t="s">
        <v>24</v>
      </c>
      <c r="C63" t="s">
        <v>257</v>
      </c>
      <c r="D63" t="s">
        <v>315</v>
      </c>
      <c r="E63" t="s">
        <v>27</v>
      </c>
      <c r="F63" t="s">
        <v>316</v>
      </c>
    </row>
    <row r="64" spans="1:9" x14ac:dyDescent="0.45">
      <c r="A64" t="s">
        <v>32</v>
      </c>
      <c r="B64" t="s">
        <v>24</v>
      </c>
      <c r="C64" t="s">
        <v>25</v>
      </c>
      <c r="D64" t="s">
        <v>317</v>
      </c>
      <c r="E64" t="s">
        <v>27</v>
      </c>
      <c r="F64" t="s">
        <v>318</v>
      </c>
    </row>
    <row r="65" spans="1:8" x14ac:dyDescent="0.45">
      <c r="B65" t="s">
        <v>24</v>
      </c>
      <c r="C65" t="s">
        <v>284</v>
      </c>
      <c r="D65" t="s">
        <v>319</v>
      </c>
      <c r="E65" t="s">
        <v>27</v>
      </c>
      <c r="F65" t="s">
        <v>318</v>
      </c>
    </row>
    <row r="66" spans="1:8" x14ac:dyDescent="0.45">
      <c r="B66" t="s">
        <v>24</v>
      </c>
      <c r="C66" t="s">
        <v>25</v>
      </c>
      <c r="D66" t="s">
        <v>320</v>
      </c>
      <c r="E66" t="s">
        <v>27</v>
      </c>
      <c r="F66" t="s">
        <v>321</v>
      </c>
    </row>
    <row r="67" spans="1:8" x14ac:dyDescent="0.45">
      <c r="B67" t="s">
        <v>24</v>
      </c>
      <c r="C67" t="s">
        <v>25</v>
      </c>
      <c r="D67" t="s">
        <v>322</v>
      </c>
      <c r="E67" t="s">
        <v>27</v>
      </c>
      <c r="F67" t="s">
        <v>323</v>
      </c>
    </row>
    <row r="68" spans="1:8" x14ac:dyDescent="0.45">
      <c r="B68" t="s">
        <v>24</v>
      </c>
      <c r="C68" t="s">
        <v>25</v>
      </c>
      <c r="D68" t="s">
        <v>324</v>
      </c>
      <c r="E68" t="s">
        <v>27</v>
      </c>
      <c r="F68" t="s">
        <v>325</v>
      </c>
    </row>
    <row r="69" spans="1:8" x14ac:dyDescent="0.45">
      <c r="A69" t="s">
        <v>72</v>
      </c>
      <c r="B69" t="s">
        <v>24</v>
      </c>
      <c r="C69" t="s">
        <v>25</v>
      </c>
      <c r="D69" t="s">
        <v>326</v>
      </c>
      <c r="E69" t="s">
        <v>27</v>
      </c>
      <c r="F69" t="s">
        <v>325</v>
      </c>
    </row>
    <row r="70" spans="1:8" x14ac:dyDescent="0.45">
      <c r="B70" t="s">
        <v>24</v>
      </c>
      <c r="C70" t="s">
        <v>25</v>
      </c>
      <c r="D70" t="s">
        <v>327</v>
      </c>
      <c r="E70" t="s">
        <v>131</v>
      </c>
    </row>
    <row r="71" spans="1:8" x14ac:dyDescent="0.45">
      <c r="B71" t="s">
        <v>24</v>
      </c>
      <c r="C71" t="s">
        <v>25</v>
      </c>
      <c r="D71" t="s">
        <v>328</v>
      </c>
      <c r="E71" t="s">
        <v>131</v>
      </c>
      <c r="G71" t="s">
        <v>301</v>
      </c>
    </row>
    <row r="72" spans="1:8" x14ac:dyDescent="0.45">
      <c r="B72" t="s">
        <v>24</v>
      </c>
      <c r="C72" t="s">
        <v>25</v>
      </c>
      <c r="D72" t="s">
        <v>329</v>
      </c>
      <c r="E72" t="s">
        <v>131</v>
      </c>
      <c r="G72" t="s">
        <v>301</v>
      </c>
    </row>
    <row r="73" spans="1:8" x14ac:dyDescent="0.45">
      <c r="B73" t="s">
        <v>24</v>
      </c>
      <c r="C73" t="s">
        <v>25</v>
      </c>
      <c r="D73" t="s">
        <v>330</v>
      </c>
      <c r="E73" t="s">
        <v>200</v>
      </c>
      <c r="G73" t="s">
        <v>301</v>
      </c>
      <c r="H73" t="s">
        <v>251</v>
      </c>
    </row>
    <row r="74" spans="1:8" x14ac:dyDescent="0.45">
      <c r="B74" t="s">
        <v>24</v>
      </c>
      <c r="C74" t="s">
        <v>257</v>
      </c>
      <c r="D74" t="s">
        <v>331</v>
      </c>
      <c r="E74" t="s">
        <v>133</v>
      </c>
      <c r="G74" t="s">
        <v>301</v>
      </c>
      <c r="H74" t="s">
        <v>251</v>
      </c>
    </row>
    <row r="75" spans="1:8" x14ac:dyDescent="0.45">
      <c r="B75" t="s">
        <v>24</v>
      </c>
      <c r="C75" t="s">
        <v>25</v>
      </c>
      <c r="D75" t="s">
        <v>332</v>
      </c>
      <c r="E75" t="s">
        <v>131</v>
      </c>
      <c r="G75" t="s">
        <v>301</v>
      </c>
    </row>
    <row r="76" spans="1:8" x14ac:dyDescent="0.45">
      <c r="B76" t="s">
        <v>24</v>
      </c>
      <c r="C76" t="s">
        <v>25</v>
      </c>
      <c r="D76" t="s">
        <v>333</v>
      </c>
      <c r="E76" t="s">
        <v>27</v>
      </c>
      <c r="F76" t="s">
        <v>334</v>
      </c>
      <c r="G76" t="s">
        <v>301</v>
      </c>
    </row>
    <row r="77" spans="1:8" x14ac:dyDescent="0.45">
      <c r="A77" t="s">
        <v>32</v>
      </c>
      <c r="B77" t="s">
        <v>24</v>
      </c>
      <c r="C77" t="s">
        <v>25</v>
      </c>
      <c r="D77" t="s">
        <v>335</v>
      </c>
      <c r="E77" t="s">
        <v>27</v>
      </c>
      <c r="F77" t="s">
        <v>336</v>
      </c>
    </row>
    <row r="78" spans="1:8" x14ac:dyDescent="0.45">
      <c r="B78" t="s">
        <v>24</v>
      </c>
      <c r="C78" t="s">
        <v>25</v>
      </c>
      <c r="D78" t="s">
        <v>337</v>
      </c>
      <c r="E78" t="s">
        <v>27</v>
      </c>
      <c r="F78" t="s">
        <v>336</v>
      </c>
      <c r="G78" t="s">
        <v>241</v>
      </c>
    </row>
    <row r="79" spans="1:8" x14ac:dyDescent="0.45">
      <c r="B79" t="s">
        <v>42</v>
      </c>
      <c r="C79" t="s">
        <v>43</v>
      </c>
      <c r="D79" t="s">
        <v>338</v>
      </c>
      <c r="E79" t="s">
        <v>131</v>
      </c>
      <c r="F79" t="s">
        <v>229</v>
      </c>
    </row>
    <row r="80" spans="1:8" x14ac:dyDescent="0.45">
      <c r="B80" t="s">
        <v>24</v>
      </c>
      <c r="C80" t="s">
        <v>25</v>
      </c>
      <c r="D80" t="s">
        <v>339</v>
      </c>
      <c r="E80" t="s">
        <v>27</v>
      </c>
    </row>
    <row r="81" spans="2:9" x14ac:dyDescent="0.45">
      <c r="B81" t="s">
        <v>24</v>
      </c>
      <c r="C81" t="s">
        <v>25</v>
      </c>
      <c r="D81" t="s">
        <v>340</v>
      </c>
      <c r="E81" t="s">
        <v>131</v>
      </c>
      <c r="F81" t="s">
        <v>229</v>
      </c>
    </row>
    <row r="82" spans="2:9" x14ac:dyDescent="0.45">
      <c r="B82" t="s">
        <v>24</v>
      </c>
      <c r="C82" t="s">
        <v>25</v>
      </c>
      <c r="D82" t="s">
        <v>341</v>
      </c>
      <c r="E82" t="s">
        <v>27</v>
      </c>
      <c r="F82" t="s">
        <v>336</v>
      </c>
    </row>
    <row r="83" spans="2:9" x14ac:dyDescent="0.45">
      <c r="B83" t="s">
        <v>24</v>
      </c>
      <c r="C83" t="s">
        <v>25</v>
      </c>
      <c r="D83" t="s">
        <v>342</v>
      </c>
      <c r="E83" t="s">
        <v>27</v>
      </c>
      <c r="F83" t="s">
        <v>336</v>
      </c>
    </row>
    <row r="84" spans="2:9" x14ac:dyDescent="0.45">
      <c r="B84" t="s">
        <v>24</v>
      </c>
      <c r="C84" t="s">
        <v>306</v>
      </c>
      <c r="D84" t="s">
        <v>343</v>
      </c>
      <c r="E84" t="s">
        <v>131</v>
      </c>
    </row>
    <row r="85" spans="2:9" x14ac:dyDescent="0.45">
      <c r="B85" t="s">
        <v>24</v>
      </c>
      <c r="C85" t="s">
        <v>25</v>
      </c>
      <c r="D85" t="s">
        <v>344</v>
      </c>
      <c r="E85" t="s">
        <v>131</v>
      </c>
    </row>
    <row r="86" spans="2:9" x14ac:dyDescent="0.45">
      <c r="B86" t="s">
        <v>24</v>
      </c>
      <c r="C86" t="s">
        <v>25</v>
      </c>
      <c r="D86" t="s">
        <v>345</v>
      </c>
      <c r="E86" t="s">
        <v>29</v>
      </c>
    </row>
    <row r="87" spans="2:9" x14ac:dyDescent="0.45">
      <c r="B87" t="s">
        <v>24</v>
      </c>
      <c r="C87" t="s">
        <v>346</v>
      </c>
      <c r="D87" t="s">
        <v>347</v>
      </c>
      <c r="E87" t="s">
        <v>131</v>
      </c>
      <c r="F87" t="s">
        <v>229</v>
      </c>
    </row>
    <row r="88" spans="2:9" x14ac:dyDescent="0.45">
      <c r="B88" t="s">
        <v>24</v>
      </c>
      <c r="C88" t="s">
        <v>306</v>
      </c>
      <c r="D88" t="s">
        <v>348</v>
      </c>
      <c r="E88" t="s">
        <v>40</v>
      </c>
      <c r="F88" t="s">
        <v>229</v>
      </c>
    </row>
    <row r="89" spans="2:9" x14ac:dyDescent="0.45">
      <c r="B89" t="s">
        <v>42</v>
      </c>
      <c r="C89" t="s">
        <v>43</v>
      </c>
      <c r="D89" t="s">
        <v>349</v>
      </c>
      <c r="E89" t="s">
        <v>27</v>
      </c>
      <c r="F89" t="s">
        <v>350</v>
      </c>
    </row>
    <row r="90" spans="2:9" x14ac:dyDescent="0.45">
      <c r="B90" t="s">
        <v>24</v>
      </c>
      <c r="C90" t="s">
        <v>25</v>
      </c>
      <c r="D90" t="s">
        <v>351</v>
      </c>
      <c r="E90" t="s">
        <v>27</v>
      </c>
      <c r="F90" t="s">
        <v>350</v>
      </c>
    </row>
    <row r="91" spans="2:9" x14ac:dyDescent="0.45">
      <c r="B91" t="s">
        <v>24</v>
      </c>
      <c r="C91" t="s">
        <v>25</v>
      </c>
      <c r="D91" t="s">
        <v>352</v>
      </c>
      <c r="E91" t="s">
        <v>27</v>
      </c>
      <c r="F91" t="s">
        <v>350</v>
      </c>
    </row>
    <row r="92" spans="2:9" x14ac:dyDescent="0.45">
      <c r="B92" t="s">
        <v>24</v>
      </c>
      <c r="C92" t="s">
        <v>25</v>
      </c>
      <c r="D92" t="s">
        <v>353</v>
      </c>
      <c r="E92" t="s">
        <v>27</v>
      </c>
      <c r="F92" t="s">
        <v>350</v>
      </c>
    </row>
    <row r="93" spans="2:9" x14ac:dyDescent="0.45">
      <c r="B93" t="s">
        <v>24</v>
      </c>
      <c r="C93" t="s">
        <v>25</v>
      </c>
      <c r="D93" t="s">
        <v>354</v>
      </c>
      <c r="E93" t="s">
        <v>27</v>
      </c>
      <c r="F93" t="s">
        <v>350</v>
      </c>
    </row>
    <row r="94" spans="2:9" x14ac:dyDescent="0.45">
      <c r="B94" t="s">
        <v>42</v>
      </c>
      <c r="C94" t="s">
        <v>43</v>
      </c>
      <c r="D94" t="s">
        <v>355</v>
      </c>
      <c r="E94" t="s">
        <v>27</v>
      </c>
      <c r="F94" t="s">
        <v>356</v>
      </c>
    </row>
    <row r="95" spans="2:9" x14ac:dyDescent="0.45">
      <c r="B95" t="s">
        <v>24</v>
      </c>
      <c r="C95" t="s">
        <v>284</v>
      </c>
      <c r="D95" t="s">
        <v>203</v>
      </c>
      <c r="E95" t="s">
        <v>27</v>
      </c>
      <c r="F95" t="s">
        <v>356</v>
      </c>
      <c r="G95" t="s">
        <v>241</v>
      </c>
      <c r="H95" t="s">
        <v>251</v>
      </c>
      <c r="I95">
        <v>30</v>
      </c>
    </row>
    <row r="96" spans="2:9" x14ac:dyDescent="0.45">
      <c r="B96" t="s">
        <v>42</v>
      </c>
      <c r="C96" t="s">
        <v>43</v>
      </c>
      <c r="D96" t="s">
        <v>357</v>
      </c>
      <c r="E96" t="s">
        <v>27</v>
      </c>
      <c r="F96" t="s">
        <v>356</v>
      </c>
    </row>
    <row r="97" spans="1:9" x14ac:dyDescent="0.45">
      <c r="B97" t="s">
        <v>24</v>
      </c>
      <c r="C97" t="s">
        <v>358</v>
      </c>
      <c r="D97" t="s">
        <v>359</v>
      </c>
      <c r="E97" t="s">
        <v>27</v>
      </c>
      <c r="F97" t="s">
        <v>360</v>
      </c>
    </row>
    <row r="98" spans="1:9" x14ac:dyDescent="0.45">
      <c r="B98" t="s">
        <v>24</v>
      </c>
      <c r="C98" t="s">
        <v>226</v>
      </c>
      <c r="D98" t="s">
        <v>361</v>
      </c>
      <c r="E98" t="s">
        <v>27</v>
      </c>
      <c r="F98" t="s">
        <v>360</v>
      </c>
      <c r="G98" t="s">
        <v>301</v>
      </c>
    </row>
    <row r="99" spans="1:9" x14ac:dyDescent="0.45">
      <c r="B99" t="s">
        <v>24</v>
      </c>
      <c r="C99" t="s">
        <v>257</v>
      </c>
      <c r="D99" t="s">
        <v>362</v>
      </c>
      <c r="E99" t="s">
        <v>131</v>
      </c>
    </row>
    <row r="100" spans="1:9" x14ac:dyDescent="0.45">
      <c r="B100" t="s">
        <v>24</v>
      </c>
      <c r="C100" t="s">
        <v>25</v>
      </c>
      <c r="D100" t="s">
        <v>363</v>
      </c>
      <c r="E100" t="s">
        <v>131</v>
      </c>
      <c r="G100" t="s">
        <v>301</v>
      </c>
    </row>
    <row r="101" spans="1:9" x14ac:dyDescent="0.45">
      <c r="B101" t="s">
        <v>24</v>
      </c>
      <c r="C101" t="s">
        <v>25</v>
      </c>
      <c r="D101" t="s">
        <v>364</v>
      </c>
      <c r="E101" t="s">
        <v>131</v>
      </c>
      <c r="G101" t="s">
        <v>301</v>
      </c>
    </row>
    <row r="102" spans="1:9" x14ac:dyDescent="0.45">
      <c r="B102" t="s">
        <v>24</v>
      </c>
      <c r="C102" t="s">
        <v>25</v>
      </c>
      <c r="D102" t="s">
        <v>365</v>
      </c>
      <c r="E102" t="s">
        <v>27</v>
      </c>
      <c r="F102" t="s">
        <v>360</v>
      </c>
    </row>
    <row r="103" spans="1:9" x14ac:dyDescent="0.45">
      <c r="B103" t="s">
        <v>24</v>
      </c>
      <c r="C103" t="s">
        <v>25</v>
      </c>
      <c r="D103" t="s">
        <v>366</v>
      </c>
      <c r="E103" t="s">
        <v>27</v>
      </c>
      <c r="F103" t="s">
        <v>360</v>
      </c>
      <c r="G103" t="s">
        <v>301</v>
      </c>
    </row>
    <row r="104" spans="1:9" x14ac:dyDescent="0.45">
      <c r="A104" t="s">
        <v>32</v>
      </c>
      <c r="B104" t="s">
        <v>24</v>
      </c>
      <c r="C104" t="s">
        <v>178</v>
      </c>
      <c r="D104" t="s">
        <v>367</v>
      </c>
      <c r="E104" t="s">
        <v>27</v>
      </c>
      <c r="F104" t="s">
        <v>360</v>
      </c>
    </row>
    <row r="105" spans="1:9" x14ac:dyDescent="0.45">
      <c r="B105" t="s">
        <v>24</v>
      </c>
      <c r="C105" t="s">
        <v>284</v>
      </c>
      <c r="D105" t="s">
        <v>368</v>
      </c>
      <c r="E105" t="s">
        <v>27</v>
      </c>
      <c r="F105" t="s">
        <v>369</v>
      </c>
    </row>
    <row r="106" spans="1:9" x14ac:dyDescent="0.45">
      <c r="B106" t="s">
        <v>24</v>
      </c>
      <c r="C106" t="s">
        <v>370</v>
      </c>
      <c r="D106" t="s">
        <v>371</v>
      </c>
      <c r="E106" t="s">
        <v>27</v>
      </c>
      <c r="F106" t="s">
        <v>369</v>
      </c>
      <c r="G106" t="s">
        <v>241</v>
      </c>
    </row>
    <row r="107" spans="1:9" x14ac:dyDescent="0.45">
      <c r="A107" t="s">
        <v>372</v>
      </c>
      <c r="B107" t="s">
        <v>24</v>
      </c>
      <c r="C107" t="s">
        <v>121</v>
      </c>
      <c r="D107" t="s">
        <v>373</v>
      </c>
      <c r="E107" t="s">
        <v>27</v>
      </c>
      <c r="F107" t="s">
        <v>369</v>
      </c>
      <c r="G107" t="s">
        <v>374</v>
      </c>
      <c r="H107" t="s">
        <v>251</v>
      </c>
      <c r="I107">
        <v>20</v>
      </c>
    </row>
    <row r="108" spans="1:9" x14ac:dyDescent="0.45">
      <c r="B108" t="s">
        <v>24</v>
      </c>
      <c r="C108" t="s">
        <v>284</v>
      </c>
      <c r="D108" t="s">
        <v>375</v>
      </c>
      <c r="E108" t="s">
        <v>27</v>
      </c>
      <c r="G108" t="s">
        <v>241</v>
      </c>
      <c r="H108" t="s">
        <v>251</v>
      </c>
      <c r="I108">
        <v>20</v>
      </c>
    </row>
    <row r="109" spans="1:9" x14ac:dyDescent="0.45">
      <c r="B109" t="s">
        <v>24</v>
      </c>
      <c r="C109" t="s">
        <v>284</v>
      </c>
      <c r="D109" t="s">
        <v>376</v>
      </c>
      <c r="E109" t="s">
        <v>27</v>
      </c>
      <c r="F109" t="s">
        <v>377</v>
      </c>
      <c r="G109" t="s">
        <v>231</v>
      </c>
      <c r="H109" t="s">
        <v>211</v>
      </c>
      <c r="I109">
        <v>50</v>
      </c>
    </row>
    <row r="110" spans="1:9" x14ac:dyDescent="0.45">
      <c r="A110" t="s">
        <v>378</v>
      </c>
      <c r="B110" t="s">
        <v>24</v>
      </c>
      <c r="C110" t="s">
        <v>284</v>
      </c>
      <c r="D110" t="s">
        <v>379</v>
      </c>
      <c r="E110" t="s">
        <v>131</v>
      </c>
      <c r="G110" t="s">
        <v>241</v>
      </c>
    </row>
    <row r="111" spans="1:9" x14ac:dyDescent="0.45">
      <c r="B111" t="s">
        <v>24</v>
      </c>
      <c r="C111" t="s">
        <v>306</v>
      </c>
      <c r="D111" t="s">
        <v>380</v>
      </c>
      <c r="E111" t="s">
        <v>200</v>
      </c>
      <c r="G111" t="s">
        <v>381</v>
      </c>
    </row>
    <row r="112" spans="1:9" x14ac:dyDescent="0.45">
      <c r="A112" t="s">
        <v>382</v>
      </c>
      <c r="B112" t="s">
        <v>24</v>
      </c>
      <c r="C112" t="s">
        <v>25</v>
      </c>
      <c r="D112" t="s">
        <v>383</v>
      </c>
      <c r="E112" t="s">
        <v>131</v>
      </c>
      <c r="F112" t="s">
        <v>229</v>
      </c>
      <c r="G112" t="s">
        <v>241</v>
      </c>
    </row>
    <row r="113" spans="1:9" x14ac:dyDescent="0.45">
      <c r="B113" t="s">
        <v>24</v>
      </c>
      <c r="C113" t="s">
        <v>121</v>
      </c>
      <c r="D113" t="s">
        <v>384</v>
      </c>
      <c r="E113" t="s">
        <v>131</v>
      </c>
      <c r="F113" t="s">
        <v>229</v>
      </c>
    </row>
    <row r="114" spans="1:9" x14ac:dyDescent="0.45">
      <c r="B114" t="s">
        <v>24</v>
      </c>
      <c r="C114" t="s">
        <v>385</v>
      </c>
      <c r="D114" t="s">
        <v>386</v>
      </c>
      <c r="E114" t="s">
        <v>131</v>
      </c>
      <c r="G114" t="s">
        <v>241</v>
      </c>
    </row>
    <row r="115" spans="1:9" x14ac:dyDescent="0.45">
      <c r="B115" t="s">
        <v>24</v>
      </c>
      <c r="C115" t="s">
        <v>121</v>
      </c>
      <c r="D115" t="s">
        <v>387</v>
      </c>
      <c r="E115" t="s">
        <v>131</v>
      </c>
    </row>
    <row r="116" spans="1:9" x14ac:dyDescent="0.45">
      <c r="B116" t="s">
        <v>24</v>
      </c>
      <c r="C116" t="s">
        <v>385</v>
      </c>
      <c r="D116" t="s">
        <v>388</v>
      </c>
      <c r="E116" t="s">
        <v>131</v>
      </c>
    </row>
    <row r="117" spans="1:9" x14ac:dyDescent="0.45">
      <c r="A117" t="s">
        <v>46</v>
      </c>
      <c r="B117" t="s">
        <v>24</v>
      </c>
      <c r="C117" t="s">
        <v>105</v>
      </c>
      <c r="D117" t="s">
        <v>389</v>
      </c>
      <c r="E117" t="s">
        <v>131</v>
      </c>
      <c r="G117" t="s">
        <v>241</v>
      </c>
    </row>
    <row r="118" spans="1:9" x14ac:dyDescent="0.45">
      <c r="B118" t="s">
        <v>24</v>
      </c>
      <c r="C118" t="s">
        <v>257</v>
      </c>
      <c r="D118" t="s">
        <v>390</v>
      </c>
      <c r="E118" t="s">
        <v>29</v>
      </c>
      <c r="G118" t="s">
        <v>241</v>
      </c>
    </row>
    <row r="119" spans="1:9" x14ac:dyDescent="0.45">
      <c r="A119" t="s">
        <v>46</v>
      </c>
      <c r="B119" t="s">
        <v>24</v>
      </c>
      <c r="C119" t="s">
        <v>25</v>
      </c>
      <c r="D119" t="s">
        <v>391</v>
      </c>
      <c r="E119" t="s">
        <v>29</v>
      </c>
      <c r="G119" t="s">
        <v>241</v>
      </c>
      <c r="H119" t="s">
        <v>211</v>
      </c>
      <c r="I119">
        <v>50</v>
      </c>
    </row>
    <row r="120" spans="1:9" x14ac:dyDescent="0.45">
      <c r="A120" t="s">
        <v>392</v>
      </c>
      <c r="B120" t="s">
        <v>24</v>
      </c>
      <c r="C120" t="s">
        <v>25</v>
      </c>
      <c r="D120" t="s">
        <v>393</v>
      </c>
      <c r="E120" t="s">
        <v>245</v>
      </c>
      <c r="G120" t="s">
        <v>374</v>
      </c>
    </row>
    <row r="121" spans="1:9" x14ac:dyDescent="0.45">
      <c r="A121" t="s">
        <v>394</v>
      </c>
      <c r="B121" t="s">
        <v>24</v>
      </c>
      <c r="C121" t="s">
        <v>105</v>
      </c>
      <c r="D121" t="s">
        <v>395</v>
      </c>
      <c r="E121" t="s">
        <v>38</v>
      </c>
      <c r="G121" t="s">
        <v>241</v>
      </c>
      <c r="H121" t="s">
        <v>251</v>
      </c>
    </row>
    <row r="122" spans="1:9" x14ac:dyDescent="0.45">
      <c r="B122" t="s">
        <v>24</v>
      </c>
      <c r="C122" t="s">
        <v>284</v>
      </c>
      <c r="D122" t="s">
        <v>396</v>
      </c>
      <c r="E122" t="s">
        <v>27</v>
      </c>
      <c r="F122" t="s">
        <v>397</v>
      </c>
      <c r="G122" t="s">
        <v>398</v>
      </c>
    </row>
    <row r="123" spans="1:9" x14ac:dyDescent="0.45">
      <c r="B123" t="s">
        <v>24</v>
      </c>
      <c r="C123" t="s">
        <v>25</v>
      </c>
      <c r="D123" t="s">
        <v>399</v>
      </c>
      <c r="E123" t="s">
        <v>27</v>
      </c>
      <c r="F123" t="s">
        <v>397</v>
      </c>
    </row>
    <row r="124" spans="1:9" x14ac:dyDescent="0.45">
      <c r="B124" t="s">
        <v>24</v>
      </c>
      <c r="C124" t="s">
        <v>25</v>
      </c>
      <c r="D124" t="s">
        <v>400</v>
      </c>
      <c r="E124" t="s">
        <v>200</v>
      </c>
      <c r="G124" t="s">
        <v>381</v>
      </c>
      <c r="H124" t="s">
        <v>251</v>
      </c>
    </row>
    <row r="125" spans="1:9" x14ac:dyDescent="0.45">
      <c r="A125" t="s">
        <v>392</v>
      </c>
      <c r="B125" t="s">
        <v>24</v>
      </c>
      <c r="C125" t="s">
        <v>25</v>
      </c>
      <c r="D125" t="s">
        <v>401</v>
      </c>
      <c r="E125" t="s">
        <v>200</v>
      </c>
      <c r="G125" t="s">
        <v>241</v>
      </c>
      <c r="H125" t="s">
        <v>251</v>
      </c>
    </row>
    <row r="126" spans="1:9" x14ac:dyDescent="0.45">
      <c r="B126" t="s">
        <v>24</v>
      </c>
      <c r="C126" t="s">
        <v>25</v>
      </c>
      <c r="D126" t="s">
        <v>402</v>
      </c>
      <c r="E126" t="s">
        <v>245</v>
      </c>
      <c r="G126" t="s">
        <v>299</v>
      </c>
    </row>
    <row r="127" spans="1:9" x14ac:dyDescent="0.45">
      <c r="B127" t="s">
        <v>24</v>
      </c>
      <c r="C127" t="s">
        <v>25</v>
      </c>
      <c r="D127" t="s">
        <v>403</v>
      </c>
      <c r="E127" t="s">
        <v>131</v>
      </c>
      <c r="F127" t="s">
        <v>229</v>
      </c>
      <c r="G127" t="s">
        <v>299</v>
      </c>
    </row>
    <row r="128" spans="1:9" x14ac:dyDescent="0.45">
      <c r="B128" t="s">
        <v>24</v>
      </c>
      <c r="C128" t="s">
        <v>25</v>
      </c>
      <c r="D128" t="s">
        <v>404</v>
      </c>
      <c r="E128" t="s">
        <v>38</v>
      </c>
      <c r="G128" t="s">
        <v>241</v>
      </c>
    </row>
    <row r="129" spans="1:11" x14ac:dyDescent="0.45">
      <c r="A129" t="s">
        <v>46</v>
      </c>
      <c r="B129" t="s">
        <v>24</v>
      </c>
      <c r="C129" t="s">
        <v>25</v>
      </c>
      <c r="D129" t="s">
        <v>61</v>
      </c>
      <c r="E129" t="s">
        <v>40</v>
      </c>
      <c r="G129" t="s">
        <v>241</v>
      </c>
      <c r="H129" t="s">
        <v>211</v>
      </c>
      <c r="I129">
        <v>30</v>
      </c>
    </row>
    <row r="130" spans="1:11" x14ac:dyDescent="0.45">
      <c r="B130" t="s">
        <v>24</v>
      </c>
      <c r="C130" t="s">
        <v>25</v>
      </c>
      <c r="D130" t="s">
        <v>405</v>
      </c>
      <c r="E130" t="s">
        <v>131</v>
      </c>
      <c r="G130" t="s">
        <v>374</v>
      </c>
    </row>
    <row r="131" spans="1:11" x14ac:dyDescent="0.45">
      <c r="B131" t="s">
        <v>24</v>
      </c>
      <c r="C131" t="s">
        <v>25</v>
      </c>
      <c r="D131" t="s">
        <v>406</v>
      </c>
      <c r="E131" t="s">
        <v>245</v>
      </c>
      <c r="G131" t="s">
        <v>299</v>
      </c>
      <c r="H131" t="s">
        <v>211</v>
      </c>
    </row>
    <row r="132" spans="1:11" x14ac:dyDescent="0.45">
      <c r="B132" t="s">
        <v>24</v>
      </c>
      <c r="C132" t="s">
        <v>25</v>
      </c>
      <c r="D132" t="s">
        <v>407</v>
      </c>
      <c r="E132" t="s">
        <v>27</v>
      </c>
      <c r="F132" t="s">
        <v>408</v>
      </c>
      <c r="G132" t="s">
        <v>241</v>
      </c>
    </row>
    <row r="133" spans="1:11" x14ac:dyDescent="0.45">
      <c r="B133" t="s">
        <v>24</v>
      </c>
      <c r="C133" t="s">
        <v>284</v>
      </c>
      <c r="D133" t="s">
        <v>409</v>
      </c>
      <c r="E133" t="s">
        <v>27</v>
      </c>
      <c r="F133" t="s">
        <v>408</v>
      </c>
      <c r="G133" t="s">
        <v>241</v>
      </c>
    </row>
    <row r="134" spans="1:11" x14ac:dyDescent="0.45">
      <c r="B134" t="s">
        <v>24</v>
      </c>
      <c r="C134" t="s">
        <v>121</v>
      </c>
      <c r="D134" t="s">
        <v>410</v>
      </c>
      <c r="E134" t="s">
        <v>131</v>
      </c>
      <c r="G134" t="s">
        <v>381</v>
      </c>
    </row>
    <row r="135" spans="1:11" x14ac:dyDescent="0.45">
      <c r="B135" t="s">
        <v>24</v>
      </c>
      <c r="C135" t="s">
        <v>25</v>
      </c>
      <c r="D135" t="s">
        <v>411</v>
      </c>
      <c r="E135" t="s">
        <v>133</v>
      </c>
      <c r="H135" t="s">
        <v>211</v>
      </c>
    </row>
    <row r="136" spans="1:11" x14ac:dyDescent="0.45">
      <c r="B136" t="s">
        <v>24</v>
      </c>
      <c r="C136" t="s">
        <v>412</v>
      </c>
      <c r="D136" t="s">
        <v>413</v>
      </c>
      <c r="E136" t="s">
        <v>38</v>
      </c>
      <c r="F136" t="s">
        <v>229</v>
      </c>
      <c r="G136" t="s">
        <v>241</v>
      </c>
      <c r="H136" t="s">
        <v>211</v>
      </c>
      <c r="K136">
        <v>13</v>
      </c>
    </row>
    <row r="137" spans="1:11" x14ac:dyDescent="0.45">
      <c r="B137" t="s">
        <v>24</v>
      </c>
      <c r="C137" t="s">
        <v>178</v>
      </c>
      <c r="D137" t="s">
        <v>414</v>
      </c>
      <c r="E137" t="s">
        <v>131</v>
      </c>
    </row>
    <row r="138" spans="1:11" x14ac:dyDescent="0.45">
      <c r="B138" t="s">
        <v>24</v>
      </c>
      <c r="C138" t="s">
        <v>25</v>
      </c>
      <c r="D138" t="s">
        <v>415</v>
      </c>
      <c r="E138" t="s">
        <v>200</v>
      </c>
    </row>
    <row r="139" spans="1:11" x14ac:dyDescent="0.45">
      <c r="B139" t="s">
        <v>24</v>
      </c>
      <c r="C139" t="s">
        <v>199</v>
      </c>
      <c r="D139" t="s">
        <v>416</v>
      </c>
      <c r="E139" t="s">
        <v>131</v>
      </c>
      <c r="G139" t="s">
        <v>417</v>
      </c>
    </row>
    <row r="140" spans="1:11" x14ac:dyDescent="0.45">
      <c r="A140" t="s">
        <v>418</v>
      </c>
      <c r="B140" t="s">
        <v>24</v>
      </c>
      <c r="C140" t="s">
        <v>25</v>
      </c>
      <c r="D140" t="s">
        <v>419</v>
      </c>
      <c r="E140" t="s">
        <v>38</v>
      </c>
      <c r="F140" t="s">
        <v>219</v>
      </c>
      <c r="H140" t="s">
        <v>211</v>
      </c>
    </row>
    <row r="141" spans="1:11" x14ac:dyDescent="0.45">
      <c r="B141" t="s">
        <v>24</v>
      </c>
      <c r="C141" t="s">
        <v>25</v>
      </c>
      <c r="D141" t="s">
        <v>420</v>
      </c>
      <c r="E141" t="s">
        <v>57</v>
      </c>
    </row>
    <row r="142" spans="1:11" x14ac:dyDescent="0.45">
      <c r="B142" t="s">
        <v>24</v>
      </c>
      <c r="C142" t="s">
        <v>105</v>
      </c>
      <c r="D142" t="s">
        <v>421</v>
      </c>
      <c r="E142" t="s">
        <v>27</v>
      </c>
      <c r="F142" t="s">
        <v>408</v>
      </c>
      <c r="G142" t="s">
        <v>241</v>
      </c>
      <c r="H142" t="s">
        <v>211</v>
      </c>
    </row>
    <row r="143" spans="1:11" x14ac:dyDescent="0.45">
      <c r="B143" t="s">
        <v>24</v>
      </c>
      <c r="C143" t="s">
        <v>306</v>
      </c>
      <c r="D143" t="s">
        <v>422</v>
      </c>
      <c r="E143" t="s">
        <v>27</v>
      </c>
      <c r="F143" t="s">
        <v>408</v>
      </c>
    </row>
    <row r="144" spans="1:11" x14ac:dyDescent="0.45">
      <c r="B144" t="s">
        <v>24</v>
      </c>
      <c r="C144" t="s">
        <v>257</v>
      </c>
      <c r="D144" t="s">
        <v>423</v>
      </c>
      <c r="E144" t="s">
        <v>27</v>
      </c>
      <c r="F144" t="s">
        <v>408</v>
      </c>
    </row>
    <row r="145" spans="1:11" x14ac:dyDescent="0.45">
      <c r="B145" t="s">
        <v>24</v>
      </c>
      <c r="C145" t="s">
        <v>284</v>
      </c>
      <c r="D145" t="s">
        <v>424</v>
      </c>
      <c r="E145" t="s">
        <v>27</v>
      </c>
      <c r="F145" t="s">
        <v>408</v>
      </c>
      <c r="G145" t="s">
        <v>425</v>
      </c>
      <c r="H145" t="s">
        <v>211</v>
      </c>
      <c r="I145">
        <v>50</v>
      </c>
      <c r="J145" t="s">
        <v>426</v>
      </c>
    </row>
    <row r="146" spans="1:11" x14ac:dyDescent="0.45">
      <c r="B146" t="s">
        <v>24</v>
      </c>
      <c r="C146" t="s">
        <v>25</v>
      </c>
      <c r="D146" t="s">
        <v>427</v>
      </c>
      <c r="E146" t="s">
        <v>27</v>
      </c>
      <c r="G146" t="s">
        <v>425</v>
      </c>
    </row>
    <row r="147" spans="1:11" x14ac:dyDescent="0.45">
      <c r="B147" t="s">
        <v>24</v>
      </c>
      <c r="C147" t="s">
        <v>428</v>
      </c>
      <c r="D147" t="s">
        <v>429</v>
      </c>
      <c r="E147" t="s">
        <v>27</v>
      </c>
      <c r="F147" t="s">
        <v>430</v>
      </c>
      <c r="H147" t="s">
        <v>251</v>
      </c>
      <c r="I147">
        <v>80</v>
      </c>
      <c r="K147">
        <v>8</v>
      </c>
    </row>
    <row r="148" spans="1:11" x14ac:dyDescent="0.45">
      <c r="B148" t="s">
        <v>24</v>
      </c>
      <c r="C148" t="s">
        <v>284</v>
      </c>
      <c r="D148" t="s">
        <v>431</v>
      </c>
      <c r="E148" t="s">
        <v>27</v>
      </c>
      <c r="F148" t="s">
        <v>430</v>
      </c>
      <c r="H148" t="s">
        <v>251</v>
      </c>
    </row>
    <row r="149" spans="1:11" x14ac:dyDescent="0.45">
      <c r="B149" t="s">
        <v>24</v>
      </c>
      <c r="C149" t="s">
        <v>284</v>
      </c>
      <c r="D149" t="s">
        <v>432</v>
      </c>
      <c r="E149" t="s">
        <v>27</v>
      </c>
      <c r="F149" t="s">
        <v>430</v>
      </c>
      <c r="G149" t="s">
        <v>381</v>
      </c>
      <c r="H149" t="s">
        <v>211</v>
      </c>
      <c r="K149">
        <v>7</v>
      </c>
    </row>
    <row r="150" spans="1:11" x14ac:dyDescent="0.45">
      <c r="B150" t="s">
        <v>24</v>
      </c>
      <c r="C150" t="s">
        <v>25</v>
      </c>
      <c r="D150" t="s">
        <v>433</v>
      </c>
      <c r="E150" t="s">
        <v>27</v>
      </c>
      <c r="F150" t="s">
        <v>430</v>
      </c>
    </row>
    <row r="151" spans="1:11" x14ac:dyDescent="0.45">
      <c r="B151" t="s">
        <v>42</v>
      </c>
      <c r="C151" t="s">
        <v>43</v>
      </c>
      <c r="D151" t="s">
        <v>434</v>
      </c>
      <c r="E151" t="s">
        <v>27</v>
      </c>
      <c r="F151" t="s">
        <v>430</v>
      </c>
    </row>
    <row r="152" spans="1:11" x14ac:dyDescent="0.45">
      <c r="B152" t="s">
        <v>24</v>
      </c>
      <c r="C152" t="s">
        <v>257</v>
      </c>
      <c r="D152" t="s">
        <v>435</v>
      </c>
      <c r="E152" t="s">
        <v>27</v>
      </c>
      <c r="F152" t="s">
        <v>430</v>
      </c>
      <c r="G152" t="s">
        <v>381</v>
      </c>
      <c r="H152" t="s">
        <v>211</v>
      </c>
      <c r="I152">
        <v>50</v>
      </c>
    </row>
    <row r="153" spans="1:11" x14ac:dyDescent="0.45">
      <c r="B153" t="s">
        <v>24</v>
      </c>
      <c r="C153" t="s">
        <v>25</v>
      </c>
      <c r="D153" t="s">
        <v>126</v>
      </c>
      <c r="E153" t="s">
        <v>27</v>
      </c>
      <c r="F153" t="s">
        <v>124</v>
      </c>
      <c r="H153" t="s">
        <v>10</v>
      </c>
      <c r="I153">
        <v>20</v>
      </c>
      <c r="K153">
        <v>20</v>
      </c>
    </row>
    <row r="154" spans="1:11" x14ac:dyDescent="0.45">
      <c r="B154" t="s">
        <v>24</v>
      </c>
      <c r="C154" t="s">
        <v>25</v>
      </c>
      <c r="D154" t="s">
        <v>35</v>
      </c>
      <c r="E154" t="s">
        <v>27</v>
      </c>
      <c r="F154" t="s">
        <v>86</v>
      </c>
      <c r="H154" t="s">
        <v>9</v>
      </c>
      <c r="I154">
        <v>30</v>
      </c>
      <c r="K154">
        <v>10</v>
      </c>
    </row>
    <row r="155" spans="1:11" x14ac:dyDescent="0.45">
      <c r="A155" t="s">
        <v>46</v>
      </c>
      <c r="B155" t="s">
        <v>24</v>
      </c>
      <c r="C155" t="s">
        <v>118</v>
      </c>
      <c r="D155" t="s">
        <v>85</v>
      </c>
      <c r="E155" t="s">
        <v>27</v>
      </c>
      <c r="F155" t="s">
        <v>41</v>
      </c>
      <c r="H155" t="s">
        <v>9</v>
      </c>
      <c r="I155">
        <v>30</v>
      </c>
      <c r="J155" t="s">
        <v>436</v>
      </c>
      <c r="K155">
        <v>20</v>
      </c>
    </row>
    <row r="156" spans="1:11" x14ac:dyDescent="0.45">
      <c r="A156" t="s">
        <v>46</v>
      </c>
      <c r="B156" t="s">
        <v>54</v>
      </c>
      <c r="C156" t="s">
        <v>55</v>
      </c>
      <c r="D156" t="s">
        <v>77</v>
      </c>
      <c r="E156" t="s">
        <v>27</v>
      </c>
      <c r="F156" t="s">
        <v>86</v>
      </c>
      <c r="H156" t="s">
        <v>9</v>
      </c>
      <c r="I156">
        <v>80</v>
      </c>
      <c r="K156">
        <v>80</v>
      </c>
    </row>
    <row r="157" spans="1:11" x14ac:dyDescent="0.45">
      <c r="A157" t="s">
        <v>32</v>
      </c>
      <c r="B157" t="s">
        <v>24</v>
      </c>
      <c r="C157" t="s">
        <v>25</v>
      </c>
      <c r="D157" t="s">
        <v>45</v>
      </c>
      <c r="E157" t="s">
        <v>27</v>
      </c>
      <c r="F157" t="s">
        <v>86</v>
      </c>
      <c r="H157" t="s">
        <v>9</v>
      </c>
      <c r="I157">
        <v>20</v>
      </c>
      <c r="K157">
        <v>10</v>
      </c>
    </row>
    <row r="158" spans="1:11" x14ac:dyDescent="0.45">
      <c r="A158" t="s">
        <v>34</v>
      </c>
      <c r="B158" t="s">
        <v>24</v>
      </c>
      <c r="C158" t="s">
        <v>306</v>
      </c>
      <c r="D158" t="s">
        <v>83</v>
      </c>
      <c r="E158" t="s">
        <v>27</v>
      </c>
      <c r="F158" t="s">
        <v>41</v>
      </c>
      <c r="H158" t="s">
        <v>9</v>
      </c>
      <c r="I158">
        <v>50</v>
      </c>
      <c r="K158">
        <v>20</v>
      </c>
    </row>
    <row r="159" spans="1:11" x14ac:dyDescent="0.45">
      <c r="B159" t="s">
        <v>24</v>
      </c>
      <c r="C159" t="s">
        <v>437</v>
      </c>
      <c r="D159" t="s">
        <v>438</v>
      </c>
      <c r="E159" t="s">
        <v>27</v>
      </c>
      <c r="F159" t="s">
        <v>439</v>
      </c>
      <c r="G159" t="s">
        <v>440</v>
      </c>
      <c r="H159" t="s">
        <v>210</v>
      </c>
      <c r="I159">
        <v>50</v>
      </c>
      <c r="K159">
        <v>67</v>
      </c>
    </row>
    <row r="160" spans="1:11" x14ac:dyDescent="0.45">
      <c r="A160" t="s">
        <v>30</v>
      </c>
      <c r="B160" t="s">
        <v>24</v>
      </c>
      <c r="C160" t="s">
        <v>25</v>
      </c>
      <c r="D160" t="s">
        <v>28</v>
      </c>
      <c r="E160" t="s">
        <v>27</v>
      </c>
      <c r="F160" t="s">
        <v>41</v>
      </c>
      <c r="H160" t="s">
        <v>9</v>
      </c>
      <c r="I160">
        <v>80</v>
      </c>
      <c r="K160">
        <v>10</v>
      </c>
    </row>
    <row r="161" spans="1:10" x14ac:dyDescent="0.45">
      <c r="B161" t="s">
        <v>24</v>
      </c>
      <c r="C161" t="s">
        <v>25</v>
      </c>
      <c r="D161" t="s">
        <v>116</v>
      </c>
      <c r="E161" t="s">
        <v>27</v>
      </c>
      <c r="F161" t="s">
        <v>81</v>
      </c>
      <c r="H161" t="s">
        <v>9</v>
      </c>
      <c r="I161">
        <v>10</v>
      </c>
    </row>
    <row r="162" spans="1:10" x14ac:dyDescent="0.45">
      <c r="B162" t="s">
        <v>24</v>
      </c>
      <c r="C162" t="s">
        <v>25</v>
      </c>
      <c r="D162" t="s">
        <v>26</v>
      </c>
      <c r="E162" t="s">
        <v>27</v>
      </c>
      <c r="H162" t="s">
        <v>9</v>
      </c>
      <c r="I162">
        <v>50</v>
      </c>
    </row>
    <row r="163" spans="1:10" x14ac:dyDescent="0.45">
      <c r="A163" t="s">
        <v>46</v>
      </c>
      <c r="B163" t="s">
        <v>24</v>
      </c>
      <c r="C163" t="s">
        <v>25</v>
      </c>
      <c r="D163" t="s">
        <v>91</v>
      </c>
      <c r="E163" t="s">
        <v>245</v>
      </c>
      <c r="H163" t="s">
        <v>251</v>
      </c>
      <c r="I163">
        <v>30</v>
      </c>
    </row>
    <row r="164" spans="1:10" x14ac:dyDescent="0.45">
      <c r="B164" t="s">
        <v>24</v>
      </c>
      <c r="C164" t="s">
        <v>25</v>
      </c>
      <c r="D164" t="s">
        <v>441</v>
      </c>
      <c r="E164" t="s">
        <v>245</v>
      </c>
      <c r="H164" t="s">
        <v>211</v>
      </c>
    </row>
    <row r="165" spans="1:10" x14ac:dyDescent="0.45">
      <c r="B165" t="s">
        <v>24</v>
      </c>
      <c r="C165" t="s">
        <v>199</v>
      </c>
      <c r="D165" t="s">
        <v>442</v>
      </c>
      <c r="E165" t="s">
        <v>245</v>
      </c>
      <c r="H165" t="s">
        <v>211</v>
      </c>
      <c r="I165">
        <v>30</v>
      </c>
    </row>
    <row r="166" spans="1:10" x14ac:dyDescent="0.45">
      <c r="B166" t="s">
        <v>24</v>
      </c>
      <c r="C166" t="s">
        <v>121</v>
      </c>
      <c r="D166" t="s">
        <v>443</v>
      </c>
      <c r="E166" t="s">
        <v>245</v>
      </c>
      <c r="H166" t="s">
        <v>251</v>
      </c>
    </row>
    <row r="167" spans="1:10" x14ac:dyDescent="0.45">
      <c r="B167" t="s">
        <v>24</v>
      </c>
      <c r="C167" t="s">
        <v>25</v>
      </c>
      <c r="D167" t="s">
        <v>444</v>
      </c>
      <c r="E167" t="s">
        <v>245</v>
      </c>
      <c r="H167" t="s">
        <v>211</v>
      </c>
    </row>
    <row r="168" spans="1:10" x14ac:dyDescent="0.45">
      <c r="A168" t="s">
        <v>46</v>
      </c>
      <c r="B168" t="s">
        <v>24</v>
      </c>
      <c r="C168" t="s">
        <v>25</v>
      </c>
      <c r="D168" t="s">
        <v>445</v>
      </c>
      <c r="E168" t="s">
        <v>245</v>
      </c>
      <c r="H168" t="s">
        <v>211</v>
      </c>
      <c r="I168">
        <v>30</v>
      </c>
    </row>
    <row r="169" spans="1:10" x14ac:dyDescent="0.45">
      <c r="B169" t="s">
        <v>24</v>
      </c>
      <c r="C169" t="s">
        <v>25</v>
      </c>
      <c r="D169" t="s">
        <v>446</v>
      </c>
      <c r="E169" t="s">
        <v>245</v>
      </c>
      <c r="H169" t="s">
        <v>211</v>
      </c>
      <c r="I169">
        <v>50</v>
      </c>
    </row>
    <row r="170" spans="1:10" x14ac:dyDescent="0.45">
      <c r="B170" t="s">
        <v>24</v>
      </c>
      <c r="C170" t="s">
        <v>25</v>
      </c>
      <c r="D170" t="s">
        <v>447</v>
      </c>
      <c r="E170" t="s">
        <v>245</v>
      </c>
      <c r="H170" t="s">
        <v>211</v>
      </c>
      <c r="I170">
        <v>30</v>
      </c>
    </row>
    <row r="171" spans="1:10" x14ac:dyDescent="0.45">
      <c r="B171" t="s">
        <v>24</v>
      </c>
      <c r="C171" t="s">
        <v>291</v>
      </c>
      <c r="D171" t="s">
        <v>448</v>
      </c>
      <c r="E171" t="s">
        <v>245</v>
      </c>
      <c r="G171" t="s">
        <v>449</v>
      </c>
      <c r="H171" t="s">
        <v>211</v>
      </c>
      <c r="I171">
        <v>50</v>
      </c>
    </row>
    <row r="172" spans="1:10" x14ac:dyDescent="0.45">
      <c r="B172" t="s">
        <v>24</v>
      </c>
      <c r="C172" t="s">
        <v>450</v>
      </c>
      <c r="D172" t="s">
        <v>451</v>
      </c>
      <c r="E172" t="s">
        <v>245</v>
      </c>
      <c r="H172" t="s">
        <v>211</v>
      </c>
    </row>
    <row r="173" spans="1:10" x14ac:dyDescent="0.45">
      <c r="B173" t="s">
        <v>24</v>
      </c>
      <c r="C173" t="s">
        <v>25</v>
      </c>
      <c r="D173" t="s">
        <v>452</v>
      </c>
      <c r="E173" t="s">
        <v>27</v>
      </c>
      <c r="H173" t="s">
        <v>211</v>
      </c>
      <c r="I173">
        <v>30</v>
      </c>
    </row>
    <row r="174" spans="1:10" x14ac:dyDescent="0.45">
      <c r="B174" t="s">
        <v>24</v>
      </c>
      <c r="C174" t="s">
        <v>199</v>
      </c>
      <c r="D174" t="s">
        <v>453</v>
      </c>
      <c r="E174" t="s">
        <v>27</v>
      </c>
      <c r="H174" t="s">
        <v>211</v>
      </c>
      <c r="I174">
        <v>30</v>
      </c>
    </row>
    <row r="175" spans="1:10" x14ac:dyDescent="0.45">
      <c r="B175" t="s">
        <v>24</v>
      </c>
      <c r="C175" t="s">
        <v>199</v>
      </c>
      <c r="D175" t="s">
        <v>454</v>
      </c>
      <c r="E175" t="s">
        <v>245</v>
      </c>
      <c r="H175" t="s">
        <v>211</v>
      </c>
      <c r="I175">
        <v>30</v>
      </c>
    </row>
    <row r="176" spans="1:10" x14ac:dyDescent="0.45">
      <c r="B176" t="s">
        <v>24</v>
      </c>
      <c r="C176" t="s">
        <v>25</v>
      </c>
      <c r="D176" t="s">
        <v>137</v>
      </c>
      <c r="E176" t="s">
        <v>245</v>
      </c>
      <c r="H176" t="s">
        <v>251</v>
      </c>
      <c r="I176">
        <v>30</v>
      </c>
      <c r="J176" t="s">
        <v>138</v>
      </c>
    </row>
    <row r="177" spans="1:11" x14ac:dyDescent="0.45">
      <c r="B177" t="s">
        <v>24</v>
      </c>
      <c r="C177" t="s">
        <v>306</v>
      </c>
      <c r="D177" t="s">
        <v>190</v>
      </c>
      <c r="E177" t="s">
        <v>27</v>
      </c>
      <c r="F177" t="s">
        <v>186</v>
      </c>
      <c r="H177" t="s">
        <v>50</v>
      </c>
      <c r="I177">
        <v>30</v>
      </c>
      <c r="J177" t="s">
        <v>175</v>
      </c>
    </row>
    <row r="178" spans="1:11" x14ac:dyDescent="0.45">
      <c r="A178" t="s">
        <v>69</v>
      </c>
      <c r="B178" t="s">
        <v>24</v>
      </c>
      <c r="C178" t="s">
        <v>25</v>
      </c>
      <c r="D178" t="s">
        <v>39</v>
      </c>
      <c r="E178" t="s">
        <v>27</v>
      </c>
      <c r="F178" t="s">
        <v>41</v>
      </c>
      <c r="H178" t="s">
        <v>9</v>
      </c>
      <c r="I178">
        <v>30</v>
      </c>
      <c r="K178">
        <v>20</v>
      </c>
    </row>
    <row r="179" spans="1:11" x14ac:dyDescent="0.45">
      <c r="B179" t="s">
        <v>24</v>
      </c>
      <c r="C179" t="s">
        <v>199</v>
      </c>
      <c r="D179" t="s">
        <v>455</v>
      </c>
      <c r="E179" t="s">
        <v>200</v>
      </c>
      <c r="H179" t="s">
        <v>211</v>
      </c>
      <c r="I179">
        <v>20</v>
      </c>
    </row>
    <row r="180" spans="1:11" x14ac:dyDescent="0.45">
      <c r="B180" t="s">
        <v>24</v>
      </c>
      <c r="C180" t="s">
        <v>178</v>
      </c>
      <c r="D180" t="s">
        <v>456</v>
      </c>
      <c r="E180" t="s">
        <v>40</v>
      </c>
      <c r="G180" t="s">
        <v>440</v>
      </c>
      <c r="H180" t="s">
        <v>211</v>
      </c>
      <c r="I180">
        <v>20</v>
      </c>
    </row>
    <row r="181" spans="1:11" x14ac:dyDescent="0.45">
      <c r="B181" t="s">
        <v>24</v>
      </c>
      <c r="C181" t="s">
        <v>25</v>
      </c>
      <c r="D181" t="s">
        <v>53</v>
      </c>
      <c r="E181" t="s">
        <v>27</v>
      </c>
      <c r="F181" t="s">
        <v>124</v>
      </c>
      <c r="H181" t="s">
        <v>9</v>
      </c>
      <c r="I181">
        <v>10</v>
      </c>
      <c r="K181">
        <v>10</v>
      </c>
    </row>
    <row r="182" spans="1:11" x14ac:dyDescent="0.45">
      <c r="B182" t="s">
        <v>24</v>
      </c>
      <c r="C182" t="s">
        <v>306</v>
      </c>
      <c r="D182" t="s">
        <v>66</v>
      </c>
      <c r="E182" t="s">
        <v>27</v>
      </c>
      <c r="F182" t="s">
        <v>41</v>
      </c>
      <c r="H182" t="s">
        <v>9</v>
      </c>
      <c r="I182">
        <v>20</v>
      </c>
      <c r="K182">
        <v>10</v>
      </c>
    </row>
    <row r="183" spans="1:11" x14ac:dyDescent="0.45">
      <c r="B183" t="s">
        <v>24</v>
      </c>
      <c r="C183" t="s">
        <v>25</v>
      </c>
      <c r="D183" t="s">
        <v>36</v>
      </c>
      <c r="E183" t="s">
        <v>27</v>
      </c>
      <c r="H183" t="s">
        <v>9</v>
      </c>
      <c r="I183">
        <v>10</v>
      </c>
      <c r="K183">
        <v>10</v>
      </c>
    </row>
    <row r="184" spans="1:11" x14ac:dyDescent="0.45">
      <c r="A184" t="s">
        <v>32</v>
      </c>
      <c r="B184" t="s">
        <v>24</v>
      </c>
      <c r="C184" t="s">
        <v>25</v>
      </c>
      <c r="D184" t="s">
        <v>31</v>
      </c>
      <c r="E184" t="s">
        <v>27</v>
      </c>
      <c r="G184" t="s">
        <v>110</v>
      </c>
      <c r="H184" t="s">
        <v>9</v>
      </c>
      <c r="I184">
        <v>50</v>
      </c>
      <c r="K184">
        <v>30</v>
      </c>
    </row>
    <row r="185" spans="1:11" x14ac:dyDescent="0.45">
      <c r="B185" t="s">
        <v>24</v>
      </c>
      <c r="C185" t="s">
        <v>25</v>
      </c>
      <c r="D185" t="s">
        <v>33</v>
      </c>
      <c r="E185" t="s">
        <v>27</v>
      </c>
      <c r="H185" t="s">
        <v>9</v>
      </c>
      <c r="I185">
        <v>30</v>
      </c>
      <c r="K185">
        <v>30</v>
      </c>
    </row>
    <row r="186" spans="1:11" x14ac:dyDescent="0.45">
      <c r="B186" t="s">
        <v>24</v>
      </c>
      <c r="C186" t="s">
        <v>25</v>
      </c>
      <c r="D186" t="s">
        <v>107</v>
      </c>
      <c r="E186" t="s">
        <v>27</v>
      </c>
      <c r="F186" t="s">
        <v>86</v>
      </c>
      <c r="H186" t="s">
        <v>9</v>
      </c>
      <c r="I186">
        <v>20</v>
      </c>
      <c r="K186">
        <v>10</v>
      </c>
    </row>
    <row r="187" spans="1:11" x14ac:dyDescent="0.45">
      <c r="B187" t="s">
        <v>24</v>
      </c>
      <c r="C187" t="s">
        <v>25</v>
      </c>
      <c r="D187" t="s">
        <v>457</v>
      </c>
      <c r="E187" t="s">
        <v>27</v>
      </c>
      <c r="F187" t="s">
        <v>458</v>
      </c>
      <c r="H187" t="s">
        <v>51</v>
      </c>
      <c r="I187">
        <v>130</v>
      </c>
      <c r="J187" t="s">
        <v>459</v>
      </c>
    </row>
    <row r="188" spans="1:11" x14ac:dyDescent="0.45">
      <c r="B188" t="s">
        <v>24</v>
      </c>
      <c r="C188" t="s">
        <v>178</v>
      </c>
      <c r="D188" t="s">
        <v>208</v>
      </c>
      <c r="E188" t="s">
        <v>245</v>
      </c>
      <c r="H188" t="s">
        <v>251</v>
      </c>
      <c r="J188" t="s">
        <v>204</v>
      </c>
    </row>
    <row r="189" spans="1:11" x14ac:dyDescent="0.45">
      <c r="B189" t="s">
        <v>24</v>
      </c>
      <c r="C189" t="s">
        <v>25</v>
      </c>
      <c r="D189" t="s">
        <v>176</v>
      </c>
      <c r="E189" t="s">
        <v>245</v>
      </c>
      <c r="G189" t="s">
        <v>460</v>
      </c>
      <c r="H189" t="s">
        <v>211</v>
      </c>
      <c r="I189">
        <v>30</v>
      </c>
    </row>
    <row r="190" spans="1:11" x14ac:dyDescent="0.45">
      <c r="B190" t="s">
        <v>99</v>
      </c>
      <c r="C190" t="s">
        <v>120</v>
      </c>
      <c r="D190" t="s">
        <v>117</v>
      </c>
      <c r="E190" t="s">
        <v>245</v>
      </c>
      <c r="H190" t="s">
        <v>211</v>
      </c>
      <c r="I190">
        <v>20</v>
      </c>
    </row>
    <row r="191" spans="1:11" x14ac:dyDescent="0.45">
      <c r="B191" t="s">
        <v>24</v>
      </c>
      <c r="C191" t="s">
        <v>25</v>
      </c>
      <c r="D191" t="s">
        <v>177</v>
      </c>
      <c r="E191" t="s">
        <v>245</v>
      </c>
      <c r="G191" t="s">
        <v>460</v>
      </c>
      <c r="H191" t="s">
        <v>211</v>
      </c>
    </row>
    <row r="192" spans="1:11" x14ac:dyDescent="0.45">
      <c r="B192" t="s">
        <v>24</v>
      </c>
      <c r="C192" t="s">
        <v>25</v>
      </c>
      <c r="D192" t="s">
        <v>130</v>
      </c>
      <c r="E192" t="s">
        <v>245</v>
      </c>
      <c r="H192" t="s">
        <v>211</v>
      </c>
    </row>
    <row r="193" spans="1:11" x14ac:dyDescent="0.45">
      <c r="B193" t="s">
        <v>24</v>
      </c>
      <c r="C193" t="s">
        <v>25</v>
      </c>
      <c r="D193" t="s">
        <v>461</v>
      </c>
      <c r="E193" t="s">
        <v>27</v>
      </c>
      <c r="H193" t="s">
        <v>211</v>
      </c>
      <c r="I193">
        <v>50</v>
      </c>
    </row>
    <row r="194" spans="1:11" x14ac:dyDescent="0.45">
      <c r="B194" t="s">
        <v>24</v>
      </c>
      <c r="C194" t="s">
        <v>25</v>
      </c>
      <c r="D194" t="s">
        <v>179</v>
      </c>
      <c r="E194" t="s">
        <v>245</v>
      </c>
      <c r="G194" t="s">
        <v>299</v>
      </c>
      <c r="H194" t="s">
        <v>211</v>
      </c>
      <c r="I194">
        <v>30</v>
      </c>
    </row>
    <row r="195" spans="1:11" x14ac:dyDescent="0.45">
      <c r="B195" t="s">
        <v>24</v>
      </c>
      <c r="C195" t="s">
        <v>25</v>
      </c>
      <c r="D195" t="s">
        <v>58</v>
      </c>
      <c r="E195" t="s">
        <v>27</v>
      </c>
      <c r="F195" t="s">
        <v>86</v>
      </c>
      <c r="H195" t="s">
        <v>9</v>
      </c>
      <c r="I195">
        <v>50</v>
      </c>
      <c r="K195">
        <v>20</v>
      </c>
    </row>
    <row r="196" spans="1:11" x14ac:dyDescent="0.45">
      <c r="B196" t="s">
        <v>24</v>
      </c>
      <c r="C196" t="s">
        <v>25</v>
      </c>
      <c r="D196" t="s">
        <v>462</v>
      </c>
      <c r="E196" t="s">
        <v>27</v>
      </c>
      <c r="F196" t="s">
        <v>458</v>
      </c>
      <c r="H196" t="s">
        <v>51</v>
      </c>
      <c r="I196">
        <v>20</v>
      </c>
      <c r="J196" t="s">
        <v>463</v>
      </c>
      <c r="K196">
        <v>10</v>
      </c>
    </row>
    <row r="197" spans="1:11" x14ac:dyDescent="0.45">
      <c r="A197" t="s">
        <v>34</v>
      </c>
      <c r="B197" t="s">
        <v>24</v>
      </c>
      <c r="C197" t="s">
        <v>25</v>
      </c>
      <c r="D197" t="s">
        <v>464</v>
      </c>
      <c r="E197" t="s">
        <v>27</v>
      </c>
      <c r="F197" t="s">
        <v>458</v>
      </c>
      <c r="H197" t="s">
        <v>51</v>
      </c>
      <c r="I197">
        <v>80</v>
      </c>
      <c r="K197">
        <v>10</v>
      </c>
    </row>
    <row r="198" spans="1:11" x14ac:dyDescent="0.45">
      <c r="A198" t="s">
        <v>34</v>
      </c>
      <c r="B198" t="s">
        <v>24</v>
      </c>
      <c r="C198" t="s">
        <v>25</v>
      </c>
      <c r="D198" t="s">
        <v>465</v>
      </c>
      <c r="E198" t="s">
        <v>27</v>
      </c>
      <c r="F198" t="s">
        <v>466</v>
      </c>
      <c r="H198" t="s">
        <v>210</v>
      </c>
      <c r="I198">
        <v>20</v>
      </c>
    </row>
    <row r="199" spans="1:11" x14ac:dyDescent="0.45">
      <c r="B199" t="s">
        <v>24</v>
      </c>
      <c r="C199" t="s">
        <v>121</v>
      </c>
      <c r="D199" t="s">
        <v>467</v>
      </c>
      <c r="E199" t="s">
        <v>27</v>
      </c>
      <c r="H199" t="s">
        <v>211</v>
      </c>
      <c r="I199">
        <v>30</v>
      </c>
    </row>
    <row r="200" spans="1:11" x14ac:dyDescent="0.45">
      <c r="B200" t="s">
        <v>24</v>
      </c>
      <c r="C200" t="s">
        <v>121</v>
      </c>
      <c r="D200" t="s">
        <v>468</v>
      </c>
      <c r="E200" t="s">
        <v>40</v>
      </c>
      <c r="H200" t="s">
        <v>211</v>
      </c>
      <c r="I200">
        <v>20</v>
      </c>
    </row>
    <row r="201" spans="1:11" x14ac:dyDescent="0.45">
      <c r="B201" t="s">
        <v>24</v>
      </c>
      <c r="C201" t="s">
        <v>306</v>
      </c>
      <c r="D201" t="s">
        <v>49</v>
      </c>
      <c r="E201" t="s">
        <v>245</v>
      </c>
      <c r="H201" t="s">
        <v>211</v>
      </c>
      <c r="I201">
        <v>30</v>
      </c>
    </row>
    <row r="202" spans="1:11" x14ac:dyDescent="0.45">
      <c r="A202" t="s">
        <v>67</v>
      </c>
      <c r="B202" t="s">
        <v>24</v>
      </c>
      <c r="C202" t="s">
        <v>25</v>
      </c>
      <c r="D202" t="s">
        <v>206</v>
      </c>
      <c r="E202" t="s">
        <v>27</v>
      </c>
      <c r="F202" t="s">
        <v>458</v>
      </c>
      <c r="H202" t="s">
        <v>51</v>
      </c>
      <c r="I202">
        <v>50</v>
      </c>
      <c r="K202">
        <v>20</v>
      </c>
    </row>
    <row r="203" spans="1:11" x14ac:dyDescent="0.45">
      <c r="B203" t="s">
        <v>24</v>
      </c>
      <c r="C203" t="s">
        <v>121</v>
      </c>
      <c r="D203" t="s">
        <v>104</v>
      </c>
      <c r="E203" t="s">
        <v>27</v>
      </c>
      <c r="G203" t="s">
        <v>274</v>
      </c>
      <c r="H203" t="s">
        <v>211</v>
      </c>
      <c r="I203">
        <v>50</v>
      </c>
    </row>
    <row r="204" spans="1:11" x14ac:dyDescent="0.45">
      <c r="B204" t="s">
        <v>24</v>
      </c>
      <c r="C204" t="s">
        <v>469</v>
      </c>
      <c r="D204" t="s">
        <v>470</v>
      </c>
      <c r="E204" t="s">
        <v>27</v>
      </c>
      <c r="F204" t="s">
        <v>471</v>
      </c>
      <c r="G204" t="s">
        <v>381</v>
      </c>
      <c r="H204" t="s">
        <v>251</v>
      </c>
    </row>
    <row r="205" spans="1:11" x14ac:dyDescent="0.45">
      <c r="B205" t="s">
        <v>24</v>
      </c>
      <c r="C205" t="s">
        <v>284</v>
      </c>
      <c r="D205" t="s">
        <v>472</v>
      </c>
      <c r="E205" t="s">
        <v>27</v>
      </c>
      <c r="F205" t="s">
        <v>471</v>
      </c>
      <c r="G205" t="s">
        <v>301</v>
      </c>
      <c r="H205" t="s">
        <v>251</v>
      </c>
    </row>
    <row r="206" spans="1:11" x14ac:dyDescent="0.45">
      <c r="B206" t="s">
        <v>24</v>
      </c>
      <c r="C206" t="s">
        <v>257</v>
      </c>
      <c r="D206" t="s">
        <v>473</v>
      </c>
      <c r="E206" t="s">
        <v>27</v>
      </c>
      <c r="F206" t="s">
        <v>471</v>
      </c>
      <c r="G206" t="s">
        <v>474</v>
      </c>
      <c r="H206" t="s">
        <v>251</v>
      </c>
    </row>
    <row r="207" spans="1:11" x14ac:dyDescent="0.45">
      <c r="A207" t="s">
        <v>46</v>
      </c>
      <c r="B207" t="s">
        <v>24</v>
      </c>
      <c r="C207" t="s">
        <v>475</v>
      </c>
      <c r="D207" t="s">
        <v>476</v>
      </c>
      <c r="E207" t="s">
        <v>27</v>
      </c>
      <c r="H207" t="s">
        <v>251</v>
      </c>
      <c r="I207">
        <v>20</v>
      </c>
    </row>
    <row r="208" spans="1:11" x14ac:dyDescent="0.45">
      <c r="B208" t="s">
        <v>24</v>
      </c>
      <c r="C208" t="s">
        <v>25</v>
      </c>
      <c r="D208" t="s">
        <v>143</v>
      </c>
      <c r="E208" t="s">
        <v>245</v>
      </c>
      <c r="H208" t="s">
        <v>251</v>
      </c>
    </row>
    <row r="209" spans="2:10" x14ac:dyDescent="0.45">
      <c r="B209" t="s">
        <v>24</v>
      </c>
      <c r="C209" t="s">
        <v>121</v>
      </c>
      <c r="D209" t="s">
        <v>477</v>
      </c>
      <c r="E209" t="s">
        <v>40</v>
      </c>
      <c r="H209" t="s">
        <v>211</v>
      </c>
      <c r="I209">
        <v>20</v>
      </c>
    </row>
    <row r="210" spans="2:10" x14ac:dyDescent="0.45">
      <c r="B210" t="s">
        <v>24</v>
      </c>
      <c r="C210" t="s">
        <v>25</v>
      </c>
      <c r="D210" t="s">
        <v>111</v>
      </c>
      <c r="E210" t="s">
        <v>27</v>
      </c>
      <c r="F210" t="s">
        <v>81</v>
      </c>
      <c r="H210" t="s">
        <v>9</v>
      </c>
      <c r="I210">
        <v>50</v>
      </c>
      <c r="J210" t="s">
        <v>119</v>
      </c>
    </row>
    <row r="211" spans="2:10" x14ac:dyDescent="0.45">
      <c r="B211" t="s">
        <v>24</v>
      </c>
      <c r="C211" t="s">
        <v>25</v>
      </c>
      <c r="D211" t="s">
        <v>478</v>
      </c>
      <c r="E211" t="s">
        <v>57</v>
      </c>
    </row>
    <row r="212" spans="2:10" x14ac:dyDescent="0.45">
      <c r="B212" t="s">
        <v>24</v>
      </c>
      <c r="C212" t="s">
        <v>25</v>
      </c>
      <c r="D212" t="s">
        <v>479</v>
      </c>
      <c r="E212" t="s">
        <v>57</v>
      </c>
    </row>
    <row r="213" spans="2:10" x14ac:dyDescent="0.45">
      <c r="B213" t="s">
        <v>24</v>
      </c>
      <c r="C213" t="s">
        <v>25</v>
      </c>
      <c r="D213" t="s">
        <v>480</v>
      </c>
      <c r="E213" t="s">
        <v>57</v>
      </c>
    </row>
    <row r="214" spans="2:10" x14ac:dyDescent="0.45">
      <c r="B214" t="s">
        <v>24</v>
      </c>
      <c r="C214" t="s">
        <v>25</v>
      </c>
      <c r="D214" t="s">
        <v>481</v>
      </c>
      <c r="E214" t="s">
        <v>57</v>
      </c>
    </row>
    <row r="215" spans="2:10" x14ac:dyDescent="0.45">
      <c r="B215" t="s">
        <v>24</v>
      </c>
      <c r="C215" t="s">
        <v>25</v>
      </c>
      <c r="D215" t="s">
        <v>482</v>
      </c>
      <c r="E215" t="s">
        <v>57</v>
      </c>
    </row>
    <row r="216" spans="2:10" x14ac:dyDescent="0.45">
      <c r="B216" t="s">
        <v>24</v>
      </c>
      <c r="C216" t="s">
        <v>306</v>
      </c>
      <c r="D216" t="s">
        <v>483</v>
      </c>
      <c r="E216" t="s">
        <v>27</v>
      </c>
      <c r="G216" t="s">
        <v>250</v>
      </c>
    </row>
    <row r="217" spans="2:10" x14ac:dyDescent="0.45">
      <c r="B217" t="s">
        <v>24</v>
      </c>
      <c r="C217" t="s">
        <v>178</v>
      </c>
      <c r="D217" t="s">
        <v>484</v>
      </c>
      <c r="E217" t="s">
        <v>27</v>
      </c>
    </row>
    <row r="218" spans="2:10" x14ac:dyDescent="0.45">
      <c r="B218" t="s">
        <v>24</v>
      </c>
      <c r="C218" t="s">
        <v>485</v>
      </c>
      <c r="D218" t="s">
        <v>486</v>
      </c>
      <c r="E218" t="s">
        <v>57</v>
      </c>
    </row>
    <row r="219" spans="2:10" x14ac:dyDescent="0.45">
      <c r="B219" t="s">
        <v>24</v>
      </c>
      <c r="C219" t="s">
        <v>25</v>
      </c>
      <c r="D219" t="s">
        <v>487</v>
      </c>
      <c r="E219" t="s">
        <v>57</v>
      </c>
    </row>
    <row r="220" spans="2:10" x14ac:dyDescent="0.45">
      <c r="B220" t="s">
        <v>24</v>
      </c>
      <c r="C220" t="s">
        <v>25</v>
      </c>
      <c r="D220" t="s">
        <v>488</v>
      </c>
      <c r="E220" t="s">
        <v>57</v>
      </c>
    </row>
    <row r="221" spans="2:10" x14ac:dyDescent="0.45">
      <c r="B221" t="s">
        <v>42</v>
      </c>
      <c r="C221" t="s">
        <v>43</v>
      </c>
      <c r="D221" t="s">
        <v>489</v>
      </c>
      <c r="E221" t="s">
        <v>57</v>
      </c>
    </row>
    <row r="222" spans="2:10" x14ac:dyDescent="0.45">
      <c r="B222" t="s">
        <v>24</v>
      </c>
      <c r="C222" t="s">
        <v>25</v>
      </c>
      <c r="D222" t="s">
        <v>490</v>
      </c>
      <c r="E222" t="s">
        <v>57</v>
      </c>
    </row>
    <row r="223" spans="2:10" x14ac:dyDescent="0.45">
      <c r="B223" t="s">
        <v>24</v>
      </c>
      <c r="C223" t="s">
        <v>178</v>
      </c>
      <c r="D223" t="s">
        <v>491</v>
      </c>
      <c r="E223" t="s">
        <v>57</v>
      </c>
    </row>
    <row r="224" spans="2:10" x14ac:dyDescent="0.45">
      <c r="B224" t="s">
        <v>24</v>
      </c>
      <c r="C224" t="s">
        <v>178</v>
      </c>
      <c r="D224" t="s">
        <v>492</v>
      </c>
      <c r="E224" t="s">
        <v>57</v>
      </c>
      <c r="H224" t="s">
        <v>211</v>
      </c>
    </row>
    <row r="225" spans="1:11" x14ac:dyDescent="0.45">
      <c r="B225" t="s">
        <v>24</v>
      </c>
      <c r="C225" t="s">
        <v>25</v>
      </c>
      <c r="D225" t="s">
        <v>88</v>
      </c>
      <c r="E225" t="s">
        <v>57</v>
      </c>
      <c r="G225" t="s">
        <v>493</v>
      </c>
      <c r="H225" t="s">
        <v>251</v>
      </c>
      <c r="J225" t="s">
        <v>89</v>
      </c>
    </row>
    <row r="226" spans="1:11" x14ac:dyDescent="0.45">
      <c r="B226" t="s">
        <v>24</v>
      </c>
      <c r="C226" t="s">
        <v>25</v>
      </c>
      <c r="D226" t="s">
        <v>494</v>
      </c>
      <c r="E226" t="s">
        <v>27</v>
      </c>
      <c r="F226" t="s">
        <v>495</v>
      </c>
      <c r="H226" t="s">
        <v>51</v>
      </c>
      <c r="I226">
        <v>50</v>
      </c>
    </row>
    <row r="227" spans="1:11" x14ac:dyDescent="0.45">
      <c r="B227" t="s">
        <v>24</v>
      </c>
      <c r="C227" t="s">
        <v>257</v>
      </c>
      <c r="D227" t="s">
        <v>496</v>
      </c>
      <c r="E227" t="s">
        <v>27</v>
      </c>
      <c r="F227" t="s">
        <v>497</v>
      </c>
      <c r="G227" t="s">
        <v>474</v>
      </c>
      <c r="H227" t="s">
        <v>211</v>
      </c>
      <c r="I227">
        <v>30</v>
      </c>
      <c r="K227">
        <v>30</v>
      </c>
    </row>
    <row r="228" spans="1:11" x14ac:dyDescent="0.45">
      <c r="B228" t="s">
        <v>24</v>
      </c>
      <c r="C228" t="s">
        <v>284</v>
      </c>
      <c r="D228" t="s">
        <v>498</v>
      </c>
      <c r="E228" t="s">
        <v>27</v>
      </c>
      <c r="F228" t="s">
        <v>497</v>
      </c>
      <c r="G228" t="s">
        <v>499</v>
      </c>
      <c r="H228" t="s">
        <v>211</v>
      </c>
      <c r="I228">
        <v>30</v>
      </c>
    </row>
    <row r="229" spans="1:11" x14ac:dyDescent="0.45">
      <c r="A229" t="s">
        <v>30</v>
      </c>
      <c r="B229" t="s">
        <v>24</v>
      </c>
      <c r="C229" t="s">
        <v>25</v>
      </c>
      <c r="D229" t="s">
        <v>79</v>
      </c>
      <c r="E229" t="s">
        <v>27</v>
      </c>
      <c r="F229" t="s">
        <v>195</v>
      </c>
      <c r="H229" t="s">
        <v>9</v>
      </c>
      <c r="I229">
        <v>30</v>
      </c>
    </row>
    <row r="230" spans="1:11" x14ac:dyDescent="0.45">
      <c r="B230" t="s">
        <v>24</v>
      </c>
      <c r="C230" t="s">
        <v>135</v>
      </c>
      <c r="D230" t="s">
        <v>128</v>
      </c>
      <c r="E230" t="s">
        <v>27</v>
      </c>
      <c r="F230" t="s">
        <v>136</v>
      </c>
      <c r="G230" t="s">
        <v>500</v>
      </c>
      <c r="H230" t="s">
        <v>10</v>
      </c>
      <c r="I230">
        <v>80</v>
      </c>
      <c r="K230">
        <v>80</v>
      </c>
    </row>
    <row r="231" spans="1:11" x14ac:dyDescent="0.45">
      <c r="B231" t="s">
        <v>24</v>
      </c>
      <c r="C231" t="s">
        <v>25</v>
      </c>
      <c r="D231" t="s">
        <v>205</v>
      </c>
      <c r="E231" t="s">
        <v>27</v>
      </c>
      <c r="F231" t="s">
        <v>194</v>
      </c>
      <c r="H231" t="s">
        <v>50</v>
      </c>
      <c r="I231">
        <v>20</v>
      </c>
    </row>
    <row r="232" spans="1:11" x14ac:dyDescent="0.45">
      <c r="A232" t="s">
        <v>69</v>
      </c>
      <c r="B232" t="s">
        <v>24</v>
      </c>
      <c r="C232" t="s">
        <v>437</v>
      </c>
      <c r="D232" t="s">
        <v>501</v>
      </c>
      <c r="E232" t="s">
        <v>27</v>
      </c>
      <c r="F232" t="s">
        <v>502</v>
      </c>
      <c r="H232" t="s">
        <v>210</v>
      </c>
      <c r="I232">
        <v>80</v>
      </c>
      <c r="J232" t="s">
        <v>89</v>
      </c>
      <c r="K232">
        <v>10</v>
      </c>
    </row>
    <row r="233" spans="1:11" x14ac:dyDescent="0.45">
      <c r="B233" t="s">
        <v>24</v>
      </c>
      <c r="C233" t="s">
        <v>25</v>
      </c>
      <c r="D233" t="s">
        <v>169</v>
      </c>
      <c r="E233" t="s">
        <v>57</v>
      </c>
      <c r="H233" t="s">
        <v>251</v>
      </c>
    </row>
    <row r="234" spans="1:11" x14ac:dyDescent="0.45">
      <c r="A234" t="s">
        <v>198</v>
      </c>
      <c r="B234" t="s">
        <v>24</v>
      </c>
      <c r="C234" t="s">
        <v>25</v>
      </c>
      <c r="D234" t="s">
        <v>202</v>
      </c>
      <c r="E234" t="s">
        <v>38</v>
      </c>
      <c r="H234" t="s">
        <v>211</v>
      </c>
      <c r="I234">
        <v>20</v>
      </c>
    </row>
    <row r="235" spans="1:11" x14ac:dyDescent="0.45">
      <c r="B235" t="s">
        <v>24</v>
      </c>
      <c r="C235" t="s">
        <v>437</v>
      </c>
      <c r="D235" t="s">
        <v>503</v>
      </c>
      <c r="E235" t="s">
        <v>27</v>
      </c>
      <c r="F235" t="s">
        <v>504</v>
      </c>
      <c r="H235" t="s">
        <v>210</v>
      </c>
      <c r="I235">
        <v>50</v>
      </c>
      <c r="K235">
        <v>40</v>
      </c>
    </row>
    <row r="236" spans="1:11" x14ac:dyDescent="0.45">
      <c r="B236" t="s">
        <v>24</v>
      </c>
      <c r="C236" t="s">
        <v>437</v>
      </c>
      <c r="D236" t="s">
        <v>505</v>
      </c>
      <c r="E236" t="s">
        <v>27</v>
      </c>
      <c r="F236" t="s">
        <v>504</v>
      </c>
      <c r="H236" t="s">
        <v>210</v>
      </c>
      <c r="I236">
        <v>30</v>
      </c>
    </row>
    <row r="237" spans="1:11" x14ac:dyDescent="0.45">
      <c r="B237" t="s">
        <v>24</v>
      </c>
      <c r="C237" t="s">
        <v>437</v>
      </c>
      <c r="D237" t="s">
        <v>506</v>
      </c>
      <c r="E237" t="s">
        <v>27</v>
      </c>
      <c r="F237" t="s">
        <v>502</v>
      </c>
      <c r="H237" t="s">
        <v>210</v>
      </c>
      <c r="I237">
        <v>30</v>
      </c>
      <c r="K237">
        <v>10</v>
      </c>
    </row>
    <row r="238" spans="1:11" x14ac:dyDescent="0.45">
      <c r="B238" t="s">
        <v>24</v>
      </c>
      <c r="C238" t="s">
        <v>105</v>
      </c>
      <c r="D238" t="s">
        <v>507</v>
      </c>
      <c r="E238" t="s">
        <v>27</v>
      </c>
      <c r="H238" t="s">
        <v>211</v>
      </c>
      <c r="I238">
        <v>20</v>
      </c>
      <c r="K238">
        <v>10</v>
      </c>
    </row>
    <row r="239" spans="1:11" x14ac:dyDescent="0.45">
      <c r="B239" t="s">
        <v>24</v>
      </c>
      <c r="C239" t="s">
        <v>25</v>
      </c>
      <c r="D239" t="s">
        <v>508</v>
      </c>
      <c r="E239" t="s">
        <v>27</v>
      </c>
      <c r="H239" t="s">
        <v>210</v>
      </c>
    </row>
    <row r="240" spans="1:11" x14ac:dyDescent="0.45">
      <c r="B240" t="s">
        <v>24</v>
      </c>
      <c r="C240" t="s">
        <v>437</v>
      </c>
      <c r="D240" t="s">
        <v>509</v>
      </c>
      <c r="E240" t="s">
        <v>27</v>
      </c>
      <c r="F240" t="s">
        <v>504</v>
      </c>
      <c r="H240" t="s">
        <v>210</v>
      </c>
      <c r="I240">
        <v>130</v>
      </c>
      <c r="K240">
        <v>60</v>
      </c>
    </row>
    <row r="241" spans="1:11" x14ac:dyDescent="0.45">
      <c r="B241" t="s">
        <v>24</v>
      </c>
      <c r="C241" t="s">
        <v>437</v>
      </c>
      <c r="D241" t="s">
        <v>510</v>
      </c>
      <c r="E241" t="s">
        <v>27</v>
      </c>
      <c r="F241" t="s">
        <v>511</v>
      </c>
      <c r="G241" t="s">
        <v>440</v>
      </c>
      <c r="H241" t="s">
        <v>211</v>
      </c>
    </row>
    <row r="242" spans="1:11" x14ac:dyDescent="0.45">
      <c r="A242" t="s">
        <v>32</v>
      </c>
      <c r="B242" t="s">
        <v>24</v>
      </c>
      <c r="C242" t="s">
        <v>437</v>
      </c>
      <c r="D242" t="s">
        <v>512</v>
      </c>
      <c r="E242" t="s">
        <v>27</v>
      </c>
      <c r="F242" t="s">
        <v>511</v>
      </c>
      <c r="G242" t="s">
        <v>449</v>
      </c>
      <c r="H242" t="s">
        <v>211</v>
      </c>
      <c r="I242">
        <v>80</v>
      </c>
      <c r="K242">
        <v>30</v>
      </c>
    </row>
    <row r="243" spans="1:11" x14ac:dyDescent="0.45">
      <c r="B243" t="s">
        <v>24</v>
      </c>
      <c r="C243" t="s">
        <v>25</v>
      </c>
      <c r="D243" t="s">
        <v>513</v>
      </c>
      <c r="E243" t="s">
        <v>27</v>
      </c>
      <c r="F243" t="s">
        <v>195</v>
      </c>
      <c r="H243" t="s">
        <v>50</v>
      </c>
      <c r="I243">
        <v>80</v>
      </c>
      <c r="K243">
        <v>20</v>
      </c>
    </row>
    <row r="244" spans="1:11" x14ac:dyDescent="0.45">
      <c r="B244" t="s">
        <v>24</v>
      </c>
      <c r="C244" t="s">
        <v>25</v>
      </c>
      <c r="D244" t="s">
        <v>514</v>
      </c>
      <c r="E244" t="s">
        <v>27</v>
      </c>
      <c r="F244" t="s">
        <v>515</v>
      </c>
      <c r="H244" t="s">
        <v>51</v>
      </c>
      <c r="I244">
        <v>80</v>
      </c>
      <c r="K244">
        <v>50</v>
      </c>
    </row>
    <row r="245" spans="1:11" x14ac:dyDescent="0.45">
      <c r="B245" t="s">
        <v>24</v>
      </c>
      <c r="C245" t="s">
        <v>25</v>
      </c>
      <c r="D245" t="s">
        <v>516</v>
      </c>
      <c r="E245" t="s">
        <v>27</v>
      </c>
      <c r="F245" t="s">
        <v>495</v>
      </c>
      <c r="H245" t="s">
        <v>51</v>
      </c>
      <c r="I245">
        <v>80</v>
      </c>
      <c r="K245">
        <v>50</v>
      </c>
    </row>
    <row r="246" spans="1:11" x14ac:dyDescent="0.45">
      <c r="A246" t="s">
        <v>517</v>
      </c>
      <c r="B246" t="s">
        <v>24</v>
      </c>
      <c r="C246" t="s">
        <v>25</v>
      </c>
      <c r="D246" t="s">
        <v>518</v>
      </c>
      <c r="E246" t="s">
        <v>27</v>
      </c>
      <c r="F246" t="s">
        <v>439</v>
      </c>
      <c r="H246" t="s">
        <v>210</v>
      </c>
      <c r="I246">
        <v>80</v>
      </c>
      <c r="K246">
        <v>7</v>
      </c>
    </row>
    <row r="247" spans="1:11" x14ac:dyDescent="0.45">
      <c r="A247" t="s">
        <v>30</v>
      </c>
      <c r="B247" t="s">
        <v>24</v>
      </c>
      <c r="C247" t="s">
        <v>105</v>
      </c>
      <c r="D247" t="s">
        <v>519</v>
      </c>
      <c r="E247" t="s">
        <v>27</v>
      </c>
      <c r="F247" t="s">
        <v>466</v>
      </c>
      <c r="H247" t="s">
        <v>210</v>
      </c>
      <c r="I247">
        <v>50</v>
      </c>
    </row>
    <row r="248" spans="1:11" x14ac:dyDescent="0.45">
      <c r="B248" t="s">
        <v>24</v>
      </c>
      <c r="C248" t="s">
        <v>25</v>
      </c>
      <c r="D248" t="s">
        <v>520</v>
      </c>
      <c r="E248" t="s">
        <v>27</v>
      </c>
      <c r="G248" t="s">
        <v>299</v>
      </c>
      <c r="K248">
        <v>10</v>
      </c>
    </row>
    <row r="249" spans="1:11" x14ac:dyDescent="0.45">
      <c r="B249" t="s">
        <v>24</v>
      </c>
      <c r="C249" t="s">
        <v>521</v>
      </c>
      <c r="D249" t="s">
        <v>522</v>
      </c>
      <c r="E249" t="s">
        <v>27</v>
      </c>
      <c r="G249" t="s">
        <v>474</v>
      </c>
    </row>
    <row r="250" spans="1:11" x14ac:dyDescent="0.45">
      <c r="B250" t="s">
        <v>24</v>
      </c>
      <c r="C250" t="s">
        <v>178</v>
      </c>
      <c r="D250" t="s">
        <v>523</v>
      </c>
      <c r="E250" t="s">
        <v>27</v>
      </c>
      <c r="F250" t="s">
        <v>524</v>
      </c>
      <c r="G250" t="s">
        <v>525</v>
      </c>
      <c r="H250" t="s">
        <v>211</v>
      </c>
    </row>
    <row r="251" spans="1:11" x14ac:dyDescent="0.45">
      <c r="B251" t="s">
        <v>24</v>
      </c>
      <c r="C251" t="s">
        <v>55</v>
      </c>
      <c r="D251" t="s">
        <v>526</v>
      </c>
      <c r="E251" t="s">
        <v>27</v>
      </c>
      <c r="F251" t="s">
        <v>524</v>
      </c>
      <c r="G251" t="s">
        <v>525</v>
      </c>
      <c r="H251" t="s">
        <v>211</v>
      </c>
    </row>
    <row r="252" spans="1:11" x14ac:dyDescent="0.45">
      <c r="B252" t="s">
        <v>24</v>
      </c>
      <c r="C252" t="s">
        <v>25</v>
      </c>
      <c r="D252" t="s">
        <v>527</v>
      </c>
      <c r="E252" t="s">
        <v>27</v>
      </c>
      <c r="F252" t="s">
        <v>524</v>
      </c>
      <c r="G252" t="s">
        <v>525</v>
      </c>
      <c r="H252" t="s">
        <v>211</v>
      </c>
    </row>
    <row r="253" spans="1:11" x14ac:dyDescent="0.45">
      <c r="B253" t="s">
        <v>24</v>
      </c>
      <c r="C253" t="s">
        <v>25</v>
      </c>
      <c r="D253" t="s">
        <v>528</v>
      </c>
      <c r="E253" t="s">
        <v>27</v>
      </c>
      <c r="F253" t="s">
        <v>529</v>
      </c>
      <c r="G253" t="s">
        <v>381</v>
      </c>
      <c r="H253" t="s">
        <v>211</v>
      </c>
    </row>
    <row r="254" spans="1:11" x14ac:dyDescent="0.45">
      <c r="B254" t="s">
        <v>24</v>
      </c>
      <c r="C254" t="s">
        <v>284</v>
      </c>
      <c r="D254" t="s">
        <v>530</v>
      </c>
      <c r="E254" t="s">
        <v>27</v>
      </c>
      <c r="F254" t="s">
        <v>531</v>
      </c>
      <c r="G254" t="s">
        <v>525</v>
      </c>
    </row>
    <row r="255" spans="1:11" x14ac:dyDescent="0.45">
      <c r="B255" t="s">
        <v>24</v>
      </c>
      <c r="C255" t="s">
        <v>226</v>
      </c>
      <c r="D255" t="s">
        <v>532</v>
      </c>
      <c r="E255" t="s">
        <v>27</v>
      </c>
      <c r="F255" t="s">
        <v>531</v>
      </c>
      <c r="G255" t="s">
        <v>525</v>
      </c>
      <c r="H255" t="s">
        <v>211</v>
      </c>
    </row>
    <row r="256" spans="1:11" x14ac:dyDescent="0.45">
      <c r="B256" t="s">
        <v>24</v>
      </c>
      <c r="C256" t="s">
        <v>257</v>
      </c>
      <c r="D256" t="s">
        <v>533</v>
      </c>
      <c r="E256" t="s">
        <v>27</v>
      </c>
      <c r="F256" t="s">
        <v>531</v>
      </c>
      <c r="G256" t="s">
        <v>525</v>
      </c>
    </row>
    <row r="257" spans="1:11" x14ac:dyDescent="0.45">
      <c r="B257" t="s">
        <v>24</v>
      </c>
      <c r="C257" t="s">
        <v>25</v>
      </c>
      <c r="D257" t="s">
        <v>534</v>
      </c>
      <c r="E257" t="s">
        <v>27</v>
      </c>
      <c r="F257" t="s">
        <v>535</v>
      </c>
      <c r="G257" t="s">
        <v>525</v>
      </c>
      <c r="H257" t="s">
        <v>211</v>
      </c>
      <c r="I257">
        <v>130</v>
      </c>
    </row>
    <row r="258" spans="1:11" x14ac:dyDescent="0.45">
      <c r="B258" t="s">
        <v>24</v>
      </c>
      <c r="C258" t="s">
        <v>257</v>
      </c>
      <c r="D258" t="s">
        <v>536</v>
      </c>
      <c r="E258" t="s">
        <v>27</v>
      </c>
      <c r="F258" t="s">
        <v>531</v>
      </c>
      <c r="G258" t="s">
        <v>449</v>
      </c>
      <c r="H258" t="s">
        <v>211</v>
      </c>
      <c r="I258">
        <v>30</v>
      </c>
      <c r="K258">
        <v>5</v>
      </c>
    </row>
    <row r="259" spans="1:11" x14ac:dyDescent="0.45">
      <c r="B259" t="s">
        <v>24</v>
      </c>
      <c r="C259" t="s">
        <v>25</v>
      </c>
      <c r="D259" t="s">
        <v>537</v>
      </c>
      <c r="E259" t="s">
        <v>27</v>
      </c>
      <c r="F259" t="s">
        <v>531</v>
      </c>
      <c r="G259" t="s">
        <v>474</v>
      </c>
      <c r="H259" t="s">
        <v>211</v>
      </c>
    </row>
    <row r="260" spans="1:11" x14ac:dyDescent="0.45">
      <c r="B260" t="s">
        <v>24</v>
      </c>
      <c r="C260" t="s">
        <v>469</v>
      </c>
      <c r="D260" t="s">
        <v>538</v>
      </c>
      <c r="E260" t="s">
        <v>27</v>
      </c>
      <c r="F260" t="s">
        <v>531</v>
      </c>
      <c r="G260" t="s">
        <v>250</v>
      </c>
      <c r="H260" t="s">
        <v>10</v>
      </c>
      <c r="K260">
        <v>26</v>
      </c>
    </row>
    <row r="261" spans="1:11" x14ac:dyDescent="0.45">
      <c r="B261" t="s">
        <v>54</v>
      </c>
      <c r="C261" t="s">
        <v>55</v>
      </c>
      <c r="D261" t="s">
        <v>539</v>
      </c>
      <c r="E261" t="s">
        <v>27</v>
      </c>
      <c r="H261" t="s">
        <v>251</v>
      </c>
      <c r="I261">
        <v>30</v>
      </c>
    </row>
    <row r="262" spans="1:11" x14ac:dyDescent="0.45">
      <c r="B262" t="s">
        <v>24</v>
      </c>
      <c r="C262" t="s">
        <v>25</v>
      </c>
      <c r="D262" t="s">
        <v>540</v>
      </c>
      <c r="E262" t="s">
        <v>27</v>
      </c>
      <c r="F262" t="s">
        <v>192</v>
      </c>
      <c r="G262" t="s">
        <v>500</v>
      </c>
      <c r="H262" t="s">
        <v>50</v>
      </c>
      <c r="I262">
        <v>20</v>
      </c>
    </row>
    <row r="263" spans="1:11" x14ac:dyDescent="0.45">
      <c r="B263" t="s">
        <v>24</v>
      </c>
      <c r="C263" t="s">
        <v>25</v>
      </c>
      <c r="D263" t="s">
        <v>141</v>
      </c>
      <c r="E263" t="s">
        <v>27</v>
      </c>
      <c r="F263" t="s">
        <v>495</v>
      </c>
      <c r="H263" t="s">
        <v>51</v>
      </c>
      <c r="I263">
        <v>30</v>
      </c>
      <c r="J263" t="s">
        <v>75</v>
      </c>
    </row>
    <row r="264" spans="1:11" x14ac:dyDescent="0.45">
      <c r="B264" t="s">
        <v>24</v>
      </c>
      <c r="C264" t="s">
        <v>25</v>
      </c>
      <c r="D264" t="s">
        <v>541</v>
      </c>
      <c r="E264" t="s">
        <v>40</v>
      </c>
      <c r="H264" t="s">
        <v>211</v>
      </c>
      <c r="I264">
        <v>30</v>
      </c>
    </row>
    <row r="265" spans="1:11" x14ac:dyDescent="0.45">
      <c r="B265" t="s">
        <v>24</v>
      </c>
      <c r="C265" t="s">
        <v>25</v>
      </c>
      <c r="D265" t="s">
        <v>542</v>
      </c>
      <c r="E265" t="s">
        <v>27</v>
      </c>
      <c r="H265" t="s">
        <v>210</v>
      </c>
      <c r="I265">
        <v>30</v>
      </c>
      <c r="K265">
        <v>20</v>
      </c>
    </row>
    <row r="266" spans="1:11" x14ac:dyDescent="0.45">
      <c r="B266" t="s">
        <v>24</v>
      </c>
      <c r="C266" t="s">
        <v>25</v>
      </c>
      <c r="D266" t="s">
        <v>543</v>
      </c>
      <c r="E266" t="s">
        <v>27</v>
      </c>
      <c r="F266" t="s">
        <v>544</v>
      </c>
      <c r="H266" t="s">
        <v>51</v>
      </c>
      <c r="I266">
        <v>30</v>
      </c>
    </row>
    <row r="267" spans="1:11" x14ac:dyDescent="0.45">
      <c r="A267" t="s">
        <v>34</v>
      </c>
      <c r="B267" t="s">
        <v>24</v>
      </c>
      <c r="C267" t="s">
        <v>437</v>
      </c>
      <c r="D267" t="s">
        <v>545</v>
      </c>
      <c r="E267" t="s">
        <v>27</v>
      </c>
      <c r="F267" t="s">
        <v>546</v>
      </c>
      <c r="H267" t="s">
        <v>210</v>
      </c>
      <c r="I267">
        <v>130</v>
      </c>
    </row>
    <row r="268" spans="1:11" x14ac:dyDescent="0.45">
      <c r="B268" t="s">
        <v>24</v>
      </c>
      <c r="C268" t="s">
        <v>178</v>
      </c>
      <c r="D268" t="s">
        <v>188</v>
      </c>
      <c r="E268" t="s">
        <v>245</v>
      </c>
      <c r="H268" t="s">
        <v>211</v>
      </c>
      <c r="I268">
        <v>50</v>
      </c>
      <c r="J268" t="s">
        <v>463</v>
      </c>
    </row>
    <row r="269" spans="1:11" x14ac:dyDescent="0.45">
      <c r="B269" t="s">
        <v>24</v>
      </c>
      <c r="C269" t="s">
        <v>25</v>
      </c>
      <c r="D269" t="s">
        <v>547</v>
      </c>
      <c r="E269" t="s">
        <v>245</v>
      </c>
      <c r="H269" t="s">
        <v>211</v>
      </c>
      <c r="I269">
        <v>30</v>
      </c>
    </row>
    <row r="270" spans="1:11" x14ac:dyDescent="0.45">
      <c r="B270" t="s">
        <v>24</v>
      </c>
      <c r="C270" t="s">
        <v>185</v>
      </c>
      <c r="D270" t="s">
        <v>174</v>
      </c>
      <c r="E270" t="s">
        <v>245</v>
      </c>
      <c r="G270" t="s">
        <v>460</v>
      </c>
      <c r="H270" t="s">
        <v>211</v>
      </c>
      <c r="I270">
        <v>50</v>
      </c>
      <c r="J270" t="s">
        <v>463</v>
      </c>
    </row>
    <row r="271" spans="1:11" x14ac:dyDescent="0.45">
      <c r="B271" t="s">
        <v>99</v>
      </c>
      <c r="C271" t="s">
        <v>120</v>
      </c>
      <c r="D271" t="s">
        <v>548</v>
      </c>
      <c r="E271" t="s">
        <v>27</v>
      </c>
      <c r="F271" t="s">
        <v>201</v>
      </c>
      <c r="H271" t="s">
        <v>51</v>
      </c>
      <c r="I271">
        <v>10</v>
      </c>
    </row>
    <row r="272" spans="1:11" x14ac:dyDescent="0.45">
      <c r="B272" t="s">
        <v>24</v>
      </c>
      <c r="C272" t="s">
        <v>185</v>
      </c>
      <c r="D272" t="s">
        <v>163</v>
      </c>
      <c r="E272" t="s">
        <v>27</v>
      </c>
      <c r="F272" t="s">
        <v>195</v>
      </c>
      <c r="G272" t="s">
        <v>460</v>
      </c>
      <c r="H272" t="s">
        <v>10</v>
      </c>
      <c r="I272">
        <v>50</v>
      </c>
      <c r="J272" t="s">
        <v>549</v>
      </c>
      <c r="K272">
        <v>20</v>
      </c>
    </row>
    <row r="273" spans="1:11" x14ac:dyDescent="0.45">
      <c r="A273" t="s">
        <v>46</v>
      </c>
      <c r="B273" t="s">
        <v>24</v>
      </c>
      <c r="C273" t="s">
        <v>134</v>
      </c>
      <c r="D273" t="s">
        <v>80</v>
      </c>
      <c r="E273" t="s">
        <v>27</v>
      </c>
      <c r="F273" t="s">
        <v>125</v>
      </c>
      <c r="G273" t="s">
        <v>460</v>
      </c>
      <c r="H273" t="s">
        <v>10</v>
      </c>
      <c r="I273">
        <v>80</v>
      </c>
      <c r="K273">
        <v>30</v>
      </c>
    </row>
    <row r="274" spans="1:11" x14ac:dyDescent="0.45">
      <c r="B274" t="s">
        <v>24</v>
      </c>
      <c r="C274" t="s">
        <v>550</v>
      </c>
      <c r="D274" t="s">
        <v>98</v>
      </c>
      <c r="E274" t="s">
        <v>245</v>
      </c>
      <c r="G274" t="s">
        <v>460</v>
      </c>
      <c r="H274" t="s">
        <v>251</v>
      </c>
      <c r="I274">
        <v>30</v>
      </c>
      <c r="J274" t="s">
        <v>463</v>
      </c>
    </row>
    <row r="275" spans="1:11" x14ac:dyDescent="0.45">
      <c r="A275" t="s">
        <v>46</v>
      </c>
      <c r="B275" t="s">
        <v>24</v>
      </c>
      <c r="C275" t="s">
        <v>25</v>
      </c>
      <c r="D275" t="s">
        <v>551</v>
      </c>
      <c r="E275" t="s">
        <v>245</v>
      </c>
      <c r="H275" t="s">
        <v>211</v>
      </c>
      <c r="I275">
        <v>20</v>
      </c>
    </row>
    <row r="276" spans="1:11" x14ac:dyDescent="0.45">
      <c r="B276" t="s">
        <v>24</v>
      </c>
      <c r="C276" t="s">
        <v>178</v>
      </c>
      <c r="D276" t="s">
        <v>552</v>
      </c>
      <c r="E276" t="s">
        <v>57</v>
      </c>
      <c r="G276" t="s">
        <v>425</v>
      </c>
      <c r="H276" t="s">
        <v>211</v>
      </c>
    </row>
    <row r="277" spans="1:11" x14ac:dyDescent="0.45">
      <c r="B277" t="s">
        <v>24</v>
      </c>
      <c r="C277" t="s">
        <v>55</v>
      </c>
      <c r="D277" t="s">
        <v>553</v>
      </c>
      <c r="E277" t="s">
        <v>245</v>
      </c>
      <c r="H277" t="s">
        <v>211</v>
      </c>
    </row>
    <row r="278" spans="1:11" x14ac:dyDescent="0.45">
      <c r="B278" t="s">
        <v>24</v>
      </c>
      <c r="C278" t="s">
        <v>554</v>
      </c>
      <c r="D278" t="s">
        <v>167</v>
      </c>
      <c r="E278" t="s">
        <v>27</v>
      </c>
      <c r="G278" t="s">
        <v>500</v>
      </c>
      <c r="H278" t="s">
        <v>210</v>
      </c>
      <c r="I278">
        <v>50</v>
      </c>
    </row>
    <row r="279" spans="1:11" x14ac:dyDescent="0.45">
      <c r="B279" t="s">
        <v>24</v>
      </c>
      <c r="C279" t="s">
        <v>121</v>
      </c>
      <c r="D279" t="s">
        <v>555</v>
      </c>
      <c r="E279" t="s">
        <v>40</v>
      </c>
      <c r="H279" t="s">
        <v>211</v>
      </c>
      <c r="I279">
        <v>80</v>
      </c>
    </row>
    <row r="280" spans="1:11" x14ac:dyDescent="0.45">
      <c r="B280" t="s">
        <v>24</v>
      </c>
      <c r="C280" t="s">
        <v>105</v>
      </c>
      <c r="D280" t="s">
        <v>106</v>
      </c>
      <c r="E280" t="s">
        <v>245</v>
      </c>
      <c r="H280" t="s">
        <v>251</v>
      </c>
      <c r="I280">
        <v>30</v>
      </c>
    </row>
    <row r="281" spans="1:11" x14ac:dyDescent="0.45">
      <c r="B281" t="s">
        <v>24</v>
      </c>
      <c r="C281" t="s">
        <v>25</v>
      </c>
      <c r="D281" t="s">
        <v>101</v>
      </c>
      <c r="E281" t="s">
        <v>245</v>
      </c>
      <c r="G281" t="s">
        <v>449</v>
      </c>
      <c r="H281" t="s">
        <v>251</v>
      </c>
      <c r="I281">
        <v>30</v>
      </c>
    </row>
    <row r="282" spans="1:11" x14ac:dyDescent="0.45">
      <c r="B282" t="s">
        <v>24</v>
      </c>
      <c r="C282" t="s">
        <v>556</v>
      </c>
      <c r="D282" t="s">
        <v>189</v>
      </c>
      <c r="E282" t="s">
        <v>57</v>
      </c>
      <c r="H282" t="s">
        <v>251</v>
      </c>
      <c r="I282">
        <v>80</v>
      </c>
    </row>
    <row r="283" spans="1:11" x14ac:dyDescent="0.45">
      <c r="A283" t="s">
        <v>46</v>
      </c>
      <c r="B283" t="s">
        <v>42</v>
      </c>
      <c r="C283" t="s">
        <v>92</v>
      </c>
      <c r="D283" t="s">
        <v>93</v>
      </c>
      <c r="E283" t="s">
        <v>245</v>
      </c>
      <c r="H283" t="s">
        <v>251</v>
      </c>
      <c r="I283">
        <v>20</v>
      </c>
    </row>
    <row r="284" spans="1:11" x14ac:dyDescent="0.45">
      <c r="B284" t="s">
        <v>24</v>
      </c>
      <c r="C284" t="s">
        <v>25</v>
      </c>
      <c r="D284" t="s">
        <v>113</v>
      </c>
      <c r="E284" t="s">
        <v>57</v>
      </c>
      <c r="H284" t="s">
        <v>251</v>
      </c>
    </row>
    <row r="285" spans="1:11" x14ac:dyDescent="0.45">
      <c r="B285" t="s">
        <v>24</v>
      </c>
      <c r="C285" t="s">
        <v>306</v>
      </c>
      <c r="D285" t="s">
        <v>170</v>
      </c>
      <c r="E285" t="s">
        <v>245</v>
      </c>
      <c r="H285" t="s">
        <v>251</v>
      </c>
      <c r="I285">
        <v>30</v>
      </c>
    </row>
    <row r="286" spans="1:11" x14ac:dyDescent="0.45">
      <c r="B286" t="s">
        <v>24</v>
      </c>
      <c r="C286" t="s">
        <v>25</v>
      </c>
      <c r="D286" t="s">
        <v>102</v>
      </c>
      <c r="E286" t="s">
        <v>57</v>
      </c>
      <c r="H286" t="s">
        <v>251</v>
      </c>
      <c r="I286">
        <v>20</v>
      </c>
    </row>
    <row r="287" spans="1:11" x14ac:dyDescent="0.45">
      <c r="B287" t="s">
        <v>24</v>
      </c>
      <c r="C287" t="s">
        <v>25</v>
      </c>
      <c r="D287" t="s">
        <v>60</v>
      </c>
      <c r="E287" t="s">
        <v>245</v>
      </c>
      <c r="H287" t="s">
        <v>251</v>
      </c>
      <c r="I287">
        <v>50</v>
      </c>
    </row>
    <row r="288" spans="1:11" x14ac:dyDescent="0.45">
      <c r="B288" t="s">
        <v>24</v>
      </c>
      <c r="C288" t="s">
        <v>25</v>
      </c>
      <c r="D288" t="s">
        <v>68</v>
      </c>
      <c r="E288" t="s">
        <v>245</v>
      </c>
      <c r="G288" t="s">
        <v>557</v>
      </c>
      <c r="H288" t="s">
        <v>251</v>
      </c>
      <c r="I288">
        <v>80</v>
      </c>
    </row>
    <row r="289" spans="1:11" x14ac:dyDescent="0.45">
      <c r="B289" t="s">
        <v>24</v>
      </c>
      <c r="C289" t="s">
        <v>25</v>
      </c>
      <c r="D289" t="s">
        <v>62</v>
      </c>
      <c r="E289" t="s">
        <v>27</v>
      </c>
      <c r="H289" t="s">
        <v>251</v>
      </c>
      <c r="I289">
        <v>30</v>
      </c>
    </row>
    <row r="290" spans="1:11" x14ac:dyDescent="0.45">
      <c r="B290" t="s">
        <v>24</v>
      </c>
      <c r="C290" t="s">
        <v>556</v>
      </c>
      <c r="D290" t="s">
        <v>108</v>
      </c>
      <c r="E290" t="s">
        <v>57</v>
      </c>
      <c r="G290" t="s">
        <v>449</v>
      </c>
      <c r="H290" t="s">
        <v>251</v>
      </c>
      <c r="I290">
        <v>20</v>
      </c>
    </row>
    <row r="291" spans="1:11" x14ac:dyDescent="0.45">
      <c r="B291" t="s">
        <v>24</v>
      </c>
      <c r="C291" t="s">
        <v>178</v>
      </c>
      <c r="D291" t="s">
        <v>182</v>
      </c>
      <c r="E291" t="s">
        <v>245</v>
      </c>
      <c r="H291" t="s">
        <v>211</v>
      </c>
      <c r="I291">
        <v>30</v>
      </c>
    </row>
    <row r="292" spans="1:11" x14ac:dyDescent="0.45">
      <c r="A292" t="s">
        <v>558</v>
      </c>
      <c r="B292" t="s">
        <v>24</v>
      </c>
      <c r="C292" t="s">
        <v>25</v>
      </c>
      <c r="D292" t="s">
        <v>59</v>
      </c>
      <c r="E292" t="s">
        <v>245</v>
      </c>
      <c r="H292" t="s">
        <v>211</v>
      </c>
      <c r="I292">
        <v>50</v>
      </c>
    </row>
    <row r="293" spans="1:11" x14ac:dyDescent="0.45">
      <c r="A293" t="s">
        <v>46</v>
      </c>
      <c r="B293" t="s">
        <v>42</v>
      </c>
      <c r="C293" t="s">
        <v>43</v>
      </c>
      <c r="D293" t="s">
        <v>94</v>
      </c>
      <c r="E293" t="s">
        <v>57</v>
      </c>
      <c r="H293" t="s">
        <v>251</v>
      </c>
      <c r="I293">
        <v>20</v>
      </c>
    </row>
    <row r="294" spans="1:11" x14ac:dyDescent="0.45">
      <c r="B294" t="s">
        <v>24</v>
      </c>
      <c r="C294" t="s">
        <v>25</v>
      </c>
      <c r="D294" t="s">
        <v>47</v>
      </c>
      <c r="E294" t="s">
        <v>245</v>
      </c>
      <c r="H294" t="s">
        <v>251</v>
      </c>
      <c r="I294">
        <v>30</v>
      </c>
      <c r="K294">
        <v>10</v>
      </c>
    </row>
    <row r="295" spans="1:11" x14ac:dyDescent="0.45">
      <c r="A295" t="s">
        <v>46</v>
      </c>
      <c r="B295" t="s">
        <v>24</v>
      </c>
      <c r="C295" t="s">
        <v>178</v>
      </c>
      <c r="D295" t="s">
        <v>56</v>
      </c>
      <c r="E295" t="s">
        <v>245</v>
      </c>
      <c r="H295" t="s">
        <v>251</v>
      </c>
      <c r="I295">
        <v>30</v>
      </c>
    </row>
    <row r="296" spans="1:11" x14ac:dyDescent="0.45">
      <c r="A296" t="s">
        <v>558</v>
      </c>
      <c r="B296" t="s">
        <v>63</v>
      </c>
      <c r="C296" t="s">
        <v>64</v>
      </c>
      <c r="D296" t="s">
        <v>65</v>
      </c>
      <c r="E296" t="s">
        <v>245</v>
      </c>
      <c r="H296" t="s">
        <v>251</v>
      </c>
      <c r="I296">
        <v>30</v>
      </c>
    </row>
    <row r="297" spans="1:11" x14ac:dyDescent="0.45">
      <c r="B297" t="s">
        <v>24</v>
      </c>
      <c r="C297" t="s">
        <v>559</v>
      </c>
      <c r="D297" t="s">
        <v>560</v>
      </c>
      <c r="E297" t="s">
        <v>245</v>
      </c>
      <c r="G297" t="s">
        <v>561</v>
      </c>
      <c r="H297" t="s">
        <v>251</v>
      </c>
      <c r="I297">
        <v>20</v>
      </c>
    </row>
    <row r="298" spans="1:11" x14ac:dyDescent="0.45">
      <c r="B298" t="s">
        <v>24</v>
      </c>
      <c r="C298" t="s">
        <v>114</v>
      </c>
      <c r="D298" t="s">
        <v>115</v>
      </c>
      <c r="E298" t="s">
        <v>245</v>
      </c>
      <c r="H298" t="s">
        <v>251</v>
      </c>
      <c r="I298">
        <v>10</v>
      </c>
    </row>
    <row r="299" spans="1:11" x14ac:dyDescent="0.45">
      <c r="B299" t="s">
        <v>24</v>
      </c>
      <c r="C299" t="s">
        <v>25</v>
      </c>
      <c r="D299" t="s">
        <v>140</v>
      </c>
      <c r="E299" t="s">
        <v>57</v>
      </c>
      <c r="H299" t="s">
        <v>251</v>
      </c>
      <c r="I299">
        <v>30</v>
      </c>
    </row>
    <row r="300" spans="1:11" x14ac:dyDescent="0.45">
      <c r="B300" t="s">
        <v>24</v>
      </c>
      <c r="C300" t="s">
        <v>562</v>
      </c>
      <c r="D300" t="s">
        <v>563</v>
      </c>
      <c r="E300" t="s">
        <v>27</v>
      </c>
      <c r="F300" t="s">
        <v>408</v>
      </c>
      <c r="G300" t="s">
        <v>303</v>
      </c>
    </row>
    <row r="301" spans="1:11" x14ac:dyDescent="0.45">
      <c r="B301" t="s">
        <v>24</v>
      </c>
      <c r="C301" t="s">
        <v>25</v>
      </c>
      <c r="D301" t="s">
        <v>564</v>
      </c>
      <c r="E301" t="s">
        <v>27</v>
      </c>
    </row>
    <row r="302" spans="1:11" x14ac:dyDescent="0.45">
      <c r="B302" t="s">
        <v>24</v>
      </c>
      <c r="C302" t="s">
        <v>521</v>
      </c>
      <c r="D302" t="s">
        <v>565</v>
      </c>
      <c r="E302" t="s">
        <v>38</v>
      </c>
      <c r="H302" t="s">
        <v>211</v>
      </c>
      <c r="K302">
        <v>8</v>
      </c>
    </row>
    <row r="303" spans="1:11" x14ac:dyDescent="0.45">
      <c r="B303" t="s">
        <v>42</v>
      </c>
      <c r="C303" t="s">
        <v>43</v>
      </c>
      <c r="D303" t="s">
        <v>566</v>
      </c>
      <c r="E303" t="s">
        <v>27</v>
      </c>
      <c r="F303" t="s">
        <v>567</v>
      </c>
      <c r="G303" t="s">
        <v>241</v>
      </c>
    </row>
    <row r="304" spans="1:11" x14ac:dyDescent="0.45">
      <c r="B304" t="s">
        <v>24</v>
      </c>
      <c r="C304" t="s">
        <v>25</v>
      </c>
      <c r="D304" t="s">
        <v>568</v>
      </c>
      <c r="E304" t="s">
        <v>245</v>
      </c>
      <c r="G304" t="s">
        <v>449</v>
      </c>
    </row>
    <row r="305" spans="1:11" x14ac:dyDescent="0.45">
      <c r="B305" t="s">
        <v>24</v>
      </c>
      <c r="C305" t="s">
        <v>25</v>
      </c>
      <c r="D305" t="s">
        <v>569</v>
      </c>
      <c r="E305" t="s">
        <v>245</v>
      </c>
      <c r="H305" t="s">
        <v>211</v>
      </c>
    </row>
    <row r="306" spans="1:11" x14ac:dyDescent="0.45">
      <c r="B306" t="s">
        <v>24</v>
      </c>
      <c r="C306" t="s">
        <v>226</v>
      </c>
      <c r="D306" t="s">
        <v>570</v>
      </c>
      <c r="E306" t="s">
        <v>27</v>
      </c>
      <c r="G306" t="s">
        <v>440</v>
      </c>
    </row>
    <row r="307" spans="1:11" x14ac:dyDescent="0.45">
      <c r="B307" t="s">
        <v>24</v>
      </c>
      <c r="C307" t="s">
        <v>25</v>
      </c>
      <c r="D307" t="s">
        <v>571</v>
      </c>
      <c r="E307" t="s">
        <v>27</v>
      </c>
      <c r="G307" t="s">
        <v>449</v>
      </c>
    </row>
    <row r="308" spans="1:11" x14ac:dyDescent="0.45">
      <c r="B308" t="s">
        <v>24</v>
      </c>
      <c r="C308" t="s">
        <v>25</v>
      </c>
      <c r="D308" t="s">
        <v>572</v>
      </c>
      <c r="E308" t="s">
        <v>245</v>
      </c>
      <c r="G308" t="s">
        <v>381</v>
      </c>
    </row>
    <row r="309" spans="1:11" x14ac:dyDescent="0.45">
      <c r="B309" t="s">
        <v>24</v>
      </c>
      <c r="C309" t="s">
        <v>25</v>
      </c>
      <c r="D309" t="s">
        <v>573</v>
      </c>
      <c r="E309" t="s">
        <v>27</v>
      </c>
      <c r="I309">
        <v>20</v>
      </c>
      <c r="K309">
        <v>20</v>
      </c>
    </row>
    <row r="310" spans="1:11" x14ac:dyDescent="0.45">
      <c r="B310" t="s">
        <v>24</v>
      </c>
      <c r="C310" t="s">
        <v>25</v>
      </c>
      <c r="D310" t="s">
        <v>574</v>
      </c>
      <c r="E310" t="s">
        <v>38</v>
      </c>
      <c r="G310" t="s">
        <v>440</v>
      </c>
      <c r="H310" t="s">
        <v>251</v>
      </c>
    </row>
    <row r="311" spans="1:11" x14ac:dyDescent="0.45">
      <c r="B311" t="s">
        <v>24</v>
      </c>
      <c r="C311" t="s">
        <v>284</v>
      </c>
      <c r="D311" t="s">
        <v>575</v>
      </c>
      <c r="E311" t="s">
        <v>27</v>
      </c>
      <c r="F311" t="s">
        <v>576</v>
      </c>
    </row>
    <row r="312" spans="1:11" x14ac:dyDescent="0.45">
      <c r="B312" t="s">
        <v>24</v>
      </c>
      <c r="C312" t="s">
        <v>521</v>
      </c>
      <c r="D312" t="s">
        <v>577</v>
      </c>
      <c r="E312" t="s">
        <v>27</v>
      </c>
      <c r="H312" t="s">
        <v>211</v>
      </c>
    </row>
    <row r="313" spans="1:11" x14ac:dyDescent="0.45">
      <c r="B313" t="s">
        <v>24</v>
      </c>
      <c r="C313" t="s">
        <v>257</v>
      </c>
      <c r="D313" t="s">
        <v>578</v>
      </c>
      <c r="E313" t="s">
        <v>200</v>
      </c>
      <c r="G313" t="s">
        <v>381</v>
      </c>
      <c r="H313" t="s">
        <v>251</v>
      </c>
    </row>
    <row r="314" spans="1:11" x14ac:dyDescent="0.45">
      <c r="B314" t="s">
        <v>24</v>
      </c>
      <c r="C314" t="s">
        <v>25</v>
      </c>
      <c r="D314" t="s">
        <v>579</v>
      </c>
      <c r="E314" t="s">
        <v>131</v>
      </c>
      <c r="G314" t="s">
        <v>381</v>
      </c>
    </row>
    <row r="315" spans="1:11" x14ac:dyDescent="0.45">
      <c r="B315" t="s">
        <v>24</v>
      </c>
      <c r="C315" t="s">
        <v>25</v>
      </c>
      <c r="D315" t="s">
        <v>580</v>
      </c>
      <c r="E315" t="s">
        <v>131</v>
      </c>
      <c r="G315" t="s">
        <v>561</v>
      </c>
    </row>
    <row r="316" spans="1:11" x14ac:dyDescent="0.45">
      <c r="B316" t="s">
        <v>24</v>
      </c>
      <c r="C316" t="s">
        <v>25</v>
      </c>
      <c r="D316" t="s">
        <v>581</v>
      </c>
      <c r="E316" t="s">
        <v>40</v>
      </c>
    </row>
    <row r="317" spans="1:11" x14ac:dyDescent="0.45">
      <c r="B317" t="s">
        <v>24</v>
      </c>
      <c r="C317" t="s">
        <v>226</v>
      </c>
      <c r="D317" t="s">
        <v>582</v>
      </c>
      <c r="E317" t="s">
        <v>27</v>
      </c>
      <c r="F317" t="s">
        <v>583</v>
      </c>
      <c r="G317" t="s">
        <v>440</v>
      </c>
      <c r="H317" t="s">
        <v>211</v>
      </c>
    </row>
    <row r="318" spans="1:11" x14ac:dyDescent="0.45">
      <c r="A318" t="s">
        <v>46</v>
      </c>
      <c r="B318" t="s">
        <v>24</v>
      </c>
      <c r="C318" t="s">
        <v>475</v>
      </c>
      <c r="D318" t="s">
        <v>584</v>
      </c>
      <c r="E318" t="s">
        <v>38</v>
      </c>
      <c r="F318" t="s">
        <v>229</v>
      </c>
      <c r="H318" t="s">
        <v>251</v>
      </c>
    </row>
    <row r="319" spans="1:11" x14ac:dyDescent="0.45">
      <c r="B319" t="s">
        <v>24</v>
      </c>
      <c r="C319" t="s">
        <v>475</v>
      </c>
      <c r="D319" t="s">
        <v>585</v>
      </c>
      <c r="E319" t="s">
        <v>27</v>
      </c>
      <c r="F319" t="s">
        <v>529</v>
      </c>
      <c r="H319" t="s">
        <v>251</v>
      </c>
    </row>
    <row r="320" spans="1:11" x14ac:dyDescent="0.45">
      <c r="B320" t="s">
        <v>24</v>
      </c>
      <c r="C320" t="s">
        <v>257</v>
      </c>
      <c r="D320" t="s">
        <v>586</v>
      </c>
      <c r="E320" t="s">
        <v>245</v>
      </c>
      <c r="H320" t="s">
        <v>211</v>
      </c>
    </row>
    <row r="321" spans="1:11" x14ac:dyDescent="0.45">
      <c r="B321" t="s">
        <v>24</v>
      </c>
      <c r="C321" t="s">
        <v>25</v>
      </c>
      <c r="D321" t="s">
        <v>82</v>
      </c>
      <c r="E321" t="s">
        <v>27</v>
      </c>
      <c r="F321" t="s">
        <v>86</v>
      </c>
      <c r="G321" t="s">
        <v>460</v>
      </c>
      <c r="H321" t="s">
        <v>9</v>
      </c>
      <c r="I321">
        <v>10</v>
      </c>
    </row>
    <row r="322" spans="1:11" x14ac:dyDescent="0.45">
      <c r="A322" t="s">
        <v>32</v>
      </c>
      <c r="B322" t="s">
        <v>24</v>
      </c>
      <c r="C322" t="s">
        <v>306</v>
      </c>
      <c r="D322" t="s">
        <v>97</v>
      </c>
      <c r="E322" t="s">
        <v>27</v>
      </c>
      <c r="H322" t="s">
        <v>10</v>
      </c>
      <c r="I322">
        <v>50</v>
      </c>
    </row>
    <row r="323" spans="1:11" x14ac:dyDescent="0.45">
      <c r="B323" t="s">
        <v>24</v>
      </c>
      <c r="C323" t="s">
        <v>25</v>
      </c>
      <c r="D323" t="s">
        <v>159</v>
      </c>
      <c r="E323" t="s">
        <v>27</v>
      </c>
      <c r="F323" t="s">
        <v>161</v>
      </c>
      <c r="H323" t="s">
        <v>10</v>
      </c>
      <c r="I323">
        <v>50</v>
      </c>
      <c r="K323">
        <v>15</v>
      </c>
    </row>
    <row r="324" spans="1:11" x14ac:dyDescent="0.45">
      <c r="A324" t="s">
        <v>46</v>
      </c>
      <c r="B324" t="s">
        <v>24</v>
      </c>
      <c r="C324" t="s">
        <v>25</v>
      </c>
      <c r="D324" t="s">
        <v>76</v>
      </c>
      <c r="E324" t="s">
        <v>27</v>
      </c>
      <c r="F324" t="s">
        <v>168</v>
      </c>
      <c r="H324" t="s">
        <v>10</v>
      </c>
      <c r="I324">
        <v>50</v>
      </c>
      <c r="K324">
        <v>30</v>
      </c>
    </row>
    <row r="325" spans="1:11" x14ac:dyDescent="0.45">
      <c r="B325" t="s">
        <v>24</v>
      </c>
      <c r="C325" t="s">
        <v>25</v>
      </c>
      <c r="D325" t="s">
        <v>70</v>
      </c>
      <c r="E325" t="s">
        <v>27</v>
      </c>
      <c r="H325" t="s">
        <v>9</v>
      </c>
      <c r="I325">
        <v>50</v>
      </c>
      <c r="K325">
        <v>40</v>
      </c>
    </row>
    <row r="326" spans="1:11" x14ac:dyDescent="0.45">
      <c r="A326" t="s">
        <v>72</v>
      </c>
      <c r="B326" t="s">
        <v>24</v>
      </c>
      <c r="C326" t="s">
        <v>25</v>
      </c>
      <c r="D326" t="s">
        <v>71</v>
      </c>
      <c r="E326" t="s">
        <v>27</v>
      </c>
      <c r="H326" t="s">
        <v>9</v>
      </c>
      <c r="I326">
        <v>50</v>
      </c>
      <c r="K326">
        <v>30</v>
      </c>
    </row>
    <row r="327" spans="1:11" x14ac:dyDescent="0.45">
      <c r="A327" t="s">
        <v>46</v>
      </c>
      <c r="B327" t="s">
        <v>42</v>
      </c>
      <c r="C327" t="s">
        <v>43</v>
      </c>
      <c r="D327" t="s">
        <v>78</v>
      </c>
      <c r="E327" t="s">
        <v>27</v>
      </c>
      <c r="H327" t="s">
        <v>9</v>
      </c>
      <c r="I327">
        <v>50</v>
      </c>
    </row>
    <row r="328" spans="1:11" x14ac:dyDescent="0.45">
      <c r="B328" t="s">
        <v>24</v>
      </c>
      <c r="C328" t="s">
        <v>25</v>
      </c>
      <c r="D328" t="s">
        <v>587</v>
      </c>
      <c r="E328" t="s">
        <v>27</v>
      </c>
      <c r="H328" t="s">
        <v>9</v>
      </c>
      <c r="I328">
        <v>50</v>
      </c>
    </row>
    <row r="329" spans="1:11" x14ac:dyDescent="0.45">
      <c r="B329" t="s">
        <v>24</v>
      </c>
      <c r="C329" t="s">
        <v>25</v>
      </c>
      <c r="D329" t="s">
        <v>139</v>
      </c>
      <c r="E329" t="s">
        <v>27</v>
      </c>
      <c r="F329" t="s">
        <v>136</v>
      </c>
      <c r="H329" t="s">
        <v>10</v>
      </c>
      <c r="I329">
        <v>20</v>
      </c>
    </row>
    <row r="330" spans="1:11" x14ac:dyDescent="0.45">
      <c r="B330" t="s">
        <v>24</v>
      </c>
      <c r="C330" t="s">
        <v>25</v>
      </c>
      <c r="D330" t="s">
        <v>142</v>
      </c>
      <c r="E330" t="s">
        <v>27</v>
      </c>
      <c r="F330" t="s">
        <v>125</v>
      </c>
      <c r="H330" t="s">
        <v>10</v>
      </c>
      <c r="I330">
        <v>30</v>
      </c>
      <c r="J330" t="s">
        <v>75</v>
      </c>
    </row>
    <row r="331" spans="1:11" x14ac:dyDescent="0.45">
      <c r="A331" t="s">
        <v>558</v>
      </c>
      <c r="B331" t="s">
        <v>42</v>
      </c>
      <c r="C331" t="s">
        <v>43</v>
      </c>
      <c r="D331" t="s">
        <v>44</v>
      </c>
      <c r="E331" t="s">
        <v>27</v>
      </c>
      <c r="F331" t="s">
        <v>125</v>
      </c>
      <c r="H331" t="s">
        <v>10</v>
      </c>
      <c r="I331">
        <v>20</v>
      </c>
      <c r="K331">
        <v>20</v>
      </c>
    </row>
    <row r="332" spans="1:11" x14ac:dyDescent="0.45">
      <c r="B332" t="s">
        <v>129</v>
      </c>
      <c r="C332" t="s">
        <v>25</v>
      </c>
      <c r="D332" t="s">
        <v>90</v>
      </c>
      <c r="E332" t="s">
        <v>27</v>
      </c>
      <c r="F332" t="s">
        <v>124</v>
      </c>
      <c r="H332" t="s">
        <v>9</v>
      </c>
      <c r="I332">
        <v>30</v>
      </c>
      <c r="K332">
        <v>10</v>
      </c>
    </row>
    <row r="333" spans="1:11" x14ac:dyDescent="0.45">
      <c r="B333" t="s">
        <v>24</v>
      </c>
      <c r="C333" t="s">
        <v>306</v>
      </c>
      <c r="D333" t="s">
        <v>48</v>
      </c>
      <c r="E333" t="s">
        <v>27</v>
      </c>
      <c r="H333" t="s">
        <v>10</v>
      </c>
      <c r="I333">
        <v>80</v>
      </c>
    </row>
    <row r="334" spans="1:11" x14ac:dyDescent="0.45">
      <c r="B334" t="s">
        <v>24</v>
      </c>
      <c r="C334" t="s">
        <v>144</v>
      </c>
      <c r="D334" t="s">
        <v>145</v>
      </c>
      <c r="E334" t="s">
        <v>38</v>
      </c>
    </row>
    <row r="335" spans="1:11" x14ac:dyDescent="0.45">
      <c r="B335" t="s">
        <v>24</v>
      </c>
      <c r="C335" t="s">
        <v>144</v>
      </c>
      <c r="D335" t="s">
        <v>147</v>
      </c>
      <c r="E335" t="s">
        <v>38</v>
      </c>
    </row>
    <row r="336" spans="1:11" x14ac:dyDescent="0.45">
      <c r="B336" t="s">
        <v>24</v>
      </c>
      <c r="C336" t="s">
        <v>144</v>
      </c>
      <c r="D336" t="s">
        <v>146</v>
      </c>
      <c r="E336" t="s">
        <v>38</v>
      </c>
      <c r="F336" t="s">
        <v>86</v>
      </c>
    </row>
    <row r="337" spans="2:11" x14ac:dyDescent="0.45">
      <c r="B337" t="s">
        <v>24</v>
      </c>
      <c r="C337" t="s">
        <v>144</v>
      </c>
      <c r="D337" t="s">
        <v>588</v>
      </c>
      <c r="E337" t="s">
        <v>38</v>
      </c>
    </row>
    <row r="338" spans="2:11" x14ac:dyDescent="0.45">
      <c r="B338" t="s">
        <v>24</v>
      </c>
      <c r="C338" t="s">
        <v>144</v>
      </c>
      <c r="D338" t="s">
        <v>148</v>
      </c>
      <c r="E338" t="s">
        <v>38</v>
      </c>
    </row>
    <row r="339" spans="2:11" x14ac:dyDescent="0.45">
      <c r="B339" t="s">
        <v>24</v>
      </c>
      <c r="C339" t="s">
        <v>144</v>
      </c>
      <c r="D339" t="s">
        <v>172</v>
      </c>
      <c r="E339" t="s">
        <v>38</v>
      </c>
    </row>
    <row r="340" spans="2:11" x14ac:dyDescent="0.45">
      <c r="B340" t="s">
        <v>24</v>
      </c>
      <c r="C340" t="s">
        <v>144</v>
      </c>
      <c r="D340" t="s">
        <v>150</v>
      </c>
      <c r="E340" t="s">
        <v>38</v>
      </c>
    </row>
    <row r="341" spans="2:11" x14ac:dyDescent="0.45">
      <c r="B341" t="s">
        <v>24</v>
      </c>
      <c r="C341" t="s">
        <v>144</v>
      </c>
      <c r="D341" t="s">
        <v>149</v>
      </c>
      <c r="E341" t="s">
        <v>38</v>
      </c>
    </row>
    <row r="342" spans="2:11" x14ac:dyDescent="0.45">
      <c r="B342" t="s">
        <v>24</v>
      </c>
      <c r="C342" t="s">
        <v>144</v>
      </c>
      <c r="D342" t="s">
        <v>151</v>
      </c>
      <c r="E342" t="s">
        <v>38</v>
      </c>
    </row>
    <row r="343" spans="2:11" x14ac:dyDescent="0.45">
      <c r="B343" t="s">
        <v>24</v>
      </c>
      <c r="C343" t="s">
        <v>144</v>
      </c>
      <c r="D343" t="s">
        <v>153</v>
      </c>
      <c r="E343" t="s">
        <v>38</v>
      </c>
    </row>
    <row r="344" spans="2:11" x14ac:dyDescent="0.45">
      <c r="B344" t="s">
        <v>24</v>
      </c>
      <c r="C344" t="s">
        <v>144</v>
      </c>
      <c r="D344" t="s">
        <v>152</v>
      </c>
      <c r="E344" t="s">
        <v>38</v>
      </c>
    </row>
    <row r="345" spans="2:11" x14ac:dyDescent="0.45">
      <c r="B345" t="s">
        <v>24</v>
      </c>
      <c r="C345" t="s">
        <v>144</v>
      </c>
      <c r="D345" t="s">
        <v>154</v>
      </c>
      <c r="E345" t="s">
        <v>38</v>
      </c>
    </row>
    <row r="346" spans="2:11" x14ac:dyDescent="0.45">
      <c r="B346" t="s">
        <v>24</v>
      </c>
      <c r="C346" t="s">
        <v>144</v>
      </c>
      <c r="D346" t="s">
        <v>155</v>
      </c>
      <c r="E346" t="s">
        <v>38</v>
      </c>
    </row>
    <row r="347" spans="2:11" x14ac:dyDescent="0.45">
      <c r="B347" t="s">
        <v>24</v>
      </c>
      <c r="C347" t="s">
        <v>144</v>
      </c>
      <c r="D347" t="s">
        <v>589</v>
      </c>
      <c r="E347" t="s">
        <v>38</v>
      </c>
    </row>
    <row r="348" spans="2:11" x14ac:dyDescent="0.45">
      <c r="B348" t="s">
        <v>24</v>
      </c>
      <c r="C348" t="s">
        <v>144</v>
      </c>
      <c r="D348" t="s">
        <v>156</v>
      </c>
      <c r="E348" t="s">
        <v>38</v>
      </c>
    </row>
    <row r="349" spans="2:11" x14ac:dyDescent="0.45">
      <c r="B349" t="s">
        <v>24</v>
      </c>
      <c r="C349" t="s">
        <v>144</v>
      </c>
      <c r="D349" t="s">
        <v>157</v>
      </c>
      <c r="E349" t="s">
        <v>38</v>
      </c>
    </row>
    <row r="350" spans="2:11" x14ac:dyDescent="0.45">
      <c r="B350" t="s">
        <v>24</v>
      </c>
      <c r="C350" t="s">
        <v>144</v>
      </c>
      <c r="D350" t="s">
        <v>158</v>
      </c>
      <c r="E350" t="s">
        <v>38</v>
      </c>
    </row>
    <row r="351" spans="2:11" x14ac:dyDescent="0.45">
      <c r="B351" t="s">
        <v>24</v>
      </c>
      <c r="C351" t="s">
        <v>25</v>
      </c>
      <c r="D351" t="s">
        <v>590</v>
      </c>
      <c r="E351" t="s">
        <v>27</v>
      </c>
      <c r="F351" t="s">
        <v>515</v>
      </c>
      <c r="G351" t="s">
        <v>299</v>
      </c>
      <c r="H351" t="s">
        <v>51</v>
      </c>
      <c r="I351">
        <v>30</v>
      </c>
      <c r="K351">
        <v>20</v>
      </c>
    </row>
    <row r="352" spans="2:11" x14ac:dyDescent="0.45">
      <c r="B352" t="s">
        <v>24</v>
      </c>
      <c r="C352" t="s">
        <v>25</v>
      </c>
      <c r="D352" t="s">
        <v>591</v>
      </c>
      <c r="E352" t="s">
        <v>27</v>
      </c>
      <c r="F352" t="s">
        <v>515</v>
      </c>
      <c r="H352" t="s">
        <v>51</v>
      </c>
      <c r="I352">
        <v>30</v>
      </c>
    </row>
    <row r="353" spans="1:11" x14ac:dyDescent="0.45">
      <c r="B353" t="s">
        <v>592</v>
      </c>
      <c r="C353" t="s">
        <v>105</v>
      </c>
      <c r="D353" t="s">
        <v>593</v>
      </c>
      <c r="E353" t="s">
        <v>27</v>
      </c>
      <c r="F353" t="s">
        <v>594</v>
      </c>
      <c r="H353" t="s">
        <v>51</v>
      </c>
      <c r="I353">
        <v>50</v>
      </c>
    </row>
    <row r="354" spans="1:11" x14ac:dyDescent="0.45">
      <c r="B354" t="s">
        <v>24</v>
      </c>
      <c r="C354" t="s">
        <v>554</v>
      </c>
      <c r="D354" t="s">
        <v>183</v>
      </c>
      <c r="E354" t="s">
        <v>27</v>
      </c>
      <c r="F354" t="s">
        <v>186</v>
      </c>
      <c r="H354" t="s">
        <v>50</v>
      </c>
      <c r="I354">
        <v>50</v>
      </c>
    </row>
    <row r="355" spans="1:11" x14ac:dyDescent="0.45">
      <c r="A355" t="s">
        <v>162</v>
      </c>
      <c r="B355" t="s">
        <v>24</v>
      </c>
      <c r="C355" t="s">
        <v>25</v>
      </c>
      <c r="D355" t="s">
        <v>184</v>
      </c>
      <c r="E355" t="s">
        <v>27</v>
      </c>
      <c r="F355" t="s">
        <v>186</v>
      </c>
      <c r="G355" t="s">
        <v>499</v>
      </c>
      <c r="H355" t="s">
        <v>10</v>
      </c>
      <c r="I355">
        <v>80</v>
      </c>
      <c r="K355">
        <v>30</v>
      </c>
    </row>
    <row r="356" spans="1:11" x14ac:dyDescent="0.45">
      <c r="B356" t="s">
        <v>24</v>
      </c>
      <c r="C356" t="s">
        <v>25</v>
      </c>
      <c r="D356" t="s">
        <v>193</v>
      </c>
      <c r="E356" t="s">
        <v>27</v>
      </c>
      <c r="F356" t="s">
        <v>194</v>
      </c>
      <c r="H356" t="s">
        <v>50</v>
      </c>
      <c r="I356">
        <v>50</v>
      </c>
    </row>
    <row r="357" spans="1:11" x14ac:dyDescent="0.45">
      <c r="B357" t="s">
        <v>24</v>
      </c>
      <c r="C357" t="s">
        <v>556</v>
      </c>
      <c r="D357" t="s">
        <v>181</v>
      </c>
      <c r="E357" t="s">
        <v>27</v>
      </c>
      <c r="F357" t="s">
        <v>194</v>
      </c>
      <c r="H357" t="s">
        <v>50</v>
      </c>
      <c r="I357">
        <v>30</v>
      </c>
    </row>
    <row r="358" spans="1:11" x14ac:dyDescent="0.45">
      <c r="B358" t="s">
        <v>24</v>
      </c>
      <c r="C358" t="s">
        <v>25</v>
      </c>
      <c r="D358" t="s">
        <v>196</v>
      </c>
      <c r="E358" t="s">
        <v>27</v>
      </c>
      <c r="F358" t="s">
        <v>197</v>
      </c>
      <c r="H358" t="s">
        <v>50</v>
      </c>
      <c r="I358">
        <v>80</v>
      </c>
    </row>
    <row r="359" spans="1:11" x14ac:dyDescent="0.45">
      <c r="A359" t="s">
        <v>198</v>
      </c>
      <c r="B359" t="s">
        <v>24</v>
      </c>
      <c r="C359" t="s">
        <v>25</v>
      </c>
      <c r="D359" t="s">
        <v>187</v>
      </c>
      <c r="E359" t="s">
        <v>27</v>
      </c>
      <c r="F359" t="s">
        <v>197</v>
      </c>
      <c r="H359" t="s">
        <v>50</v>
      </c>
      <c r="I359">
        <v>80</v>
      </c>
      <c r="K359">
        <v>10</v>
      </c>
    </row>
    <row r="360" spans="1:11" x14ac:dyDescent="0.45">
      <c r="B360" t="s">
        <v>24</v>
      </c>
      <c r="C360" t="s">
        <v>25</v>
      </c>
      <c r="D360" t="s">
        <v>595</v>
      </c>
      <c r="E360" t="s">
        <v>131</v>
      </c>
    </row>
    <row r="361" spans="1:11" x14ac:dyDescent="0.45">
      <c r="B361" t="s">
        <v>24</v>
      </c>
      <c r="C361" t="s">
        <v>25</v>
      </c>
      <c r="D361" t="s">
        <v>127</v>
      </c>
      <c r="E361" t="s">
        <v>27</v>
      </c>
      <c r="F361" t="s">
        <v>197</v>
      </c>
      <c r="H361" t="s">
        <v>10</v>
      </c>
      <c r="I361">
        <v>80</v>
      </c>
      <c r="J361" t="s">
        <v>119</v>
      </c>
      <c r="K361">
        <v>20</v>
      </c>
    </row>
    <row r="362" spans="1:11" x14ac:dyDescent="0.45">
      <c r="B362" t="s">
        <v>24</v>
      </c>
      <c r="C362" t="s">
        <v>25</v>
      </c>
      <c r="D362" t="s">
        <v>191</v>
      </c>
      <c r="E362" t="s">
        <v>27</v>
      </c>
      <c r="F362" t="s">
        <v>86</v>
      </c>
      <c r="H362" t="s">
        <v>50</v>
      </c>
      <c r="I362">
        <v>50</v>
      </c>
      <c r="K362">
        <v>20</v>
      </c>
    </row>
    <row r="363" spans="1:11" x14ac:dyDescent="0.45">
      <c r="B363" t="s">
        <v>24</v>
      </c>
      <c r="C363" t="s">
        <v>118</v>
      </c>
      <c r="D363" t="s">
        <v>173</v>
      </c>
      <c r="E363" t="s">
        <v>27</v>
      </c>
      <c r="F363" t="s">
        <v>197</v>
      </c>
      <c r="G363" t="s">
        <v>500</v>
      </c>
      <c r="H363" t="s">
        <v>50</v>
      </c>
      <c r="I363">
        <v>50</v>
      </c>
      <c r="J363" t="s">
        <v>596</v>
      </c>
      <c r="K363">
        <v>20</v>
      </c>
    </row>
    <row r="364" spans="1:11" x14ac:dyDescent="0.45">
      <c r="B364" t="s">
        <v>24</v>
      </c>
      <c r="C364" t="s">
        <v>25</v>
      </c>
      <c r="D364" t="s">
        <v>123</v>
      </c>
      <c r="E364" t="s">
        <v>27</v>
      </c>
      <c r="F364" t="s">
        <v>168</v>
      </c>
      <c r="H364" t="s">
        <v>10</v>
      </c>
      <c r="I364">
        <v>80</v>
      </c>
      <c r="K364">
        <v>20</v>
      </c>
    </row>
    <row r="365" spans="1:11" x14ac:dyDescent="0.45">
      <c r="B365" t="s">
        <v>24</v>
      </c>
      <c r="C365" t="s">
        <v>25</v>
      </c>
      <c r="D365" t="s">
        <v>207</v>
      </c>
      <c r="E365" t="s">
        <v>27</v>
      </c>
      <c r="F365" t="s">
        <v>197</v>
      </c>
      <c r="H365" t="s">
        <v>50</v>
      </c>
      <c r="I365">
        <v>50</v>
      </c>
    </row>
    <row r="366" spans="1:11" x14ac:dyDescent="0.45">
      <c r="B366" t="s">
        <v>592</v>
      </c>
      <c r="C366" t="s">
        <v>105</v>
      </c>
      <c r="D366" t="s">
        <v>597</v>
      </c>
      <c r="E366" t="s">
        <v>27</v>
      </c>
      <c r="F366" t="s">
        <v>201</v>
      </c>
      <c r="H366" t="s">
        <v>51</v>
      </c>
      <c r="I366">
        <v>10</v>
      </c>
    </row>
    <row r="367" spans="1:11" x14ac:dyDescent="0.45">
      <c r="B367" t="s">
        <v>24</v>
      </c>
      <c r="C367" t="s">
        <v>25</v>
      </c>
      <c r="D367" t="s">
        <v>598</v>
      </c>
      <c r="E367" t="s">
        <v>27</v>
      </c>
      <c r="F367" t="s">
        <v>201</v>
      </c>
      <c r="H367" t="s">
        <v>50</v>
      </c>
      <c r="I367">
        <v>30</v>
      </c>
    </row>
    <row r="368" spans="1:11" x14ac:dyDescent="0.45">
      <c r="B368" t="s">
        <v>24</v>
      </c>
      <c r="C368" t="s">
        <v>25</v>
      </c>
      <c r="D368" t="s">
        <v>599</v>
      </c>
      <c r="E368" t="s">
        <v>27</v>
      </c>
      <c r="H368" t="s">
        <v>51</v>
      </c>
      <c r="I368">
        <v>30</v>
      </c>
    </row>
    <row r="369" spans="1:11" x14ac:dyDescent="0.45">
      <c r="A369" t="s">
        <v>32</v>
      </c>
      <c r="B369" t="s">
        <v>24</v>
      </c>
      <c r="C369" t="s">
        <v>25</v>
      </c>
      <c r="D369" t="s">
        <v>600</v>
      </c>
      <c r="E369" t="s">
        <v>27</v>
      </c>
      <c r="H369" t="s">
        <v>211</v>
      </c>
      <c r="I369">
        <v>20</v>
      </c>
    </row>
    <row r="370" spans="1:11" x14ac:dyDescent="0.45">
      <c r="B370" t="s">
        <v>24</v>
      </c>
      <c r="C370" t="s">
        <v>25</v>
      </c>
      <c r="D370" t="s">
        <v>601</v>
      </c>
      <c r="E370" t="s">
        <v>27</v>
      </c>
      <c r="F370" t="s">
        <v>602</v>
      </c>
      <c r="H370" t="s">
        <v>210</v>
      </c>
      <c r="I370">
        <v>30</v>
      </c>
    </row>
    <row r="371" spans="1:11" x14ac:dyDescent="0.45">
      <c r="B371" t="s">
        <v>24</v>
      </c>
      <c r="C371" t="s">
        <v>25</v>
      </c>
      <c r="D371" t="s">
        <v>603</v>
      </c>
      <c r="E371" t="s">
        <v>27</v>
      </c>
      <c r="F371" t="s">
        <v>602</v>
      </c>
      <c r="G371" t="s">
        <v>299</v>
      </c>
      <c r="H371" t="s">
        <v>210</v>
      </c>
      <c r="I371">
        <v>20</v>
      </c>
    </row>
    <row r="372" spans="1:11" x14ac:dyDescent="0.45">
      <c r="A372" t="s">
        <v>32</v>
      </c>
      <c r="B372" t="s">
        <v>24</v>
      </c>
      <c r="C372" t="s">
        <v>25</v>
      </c>
      <c r="D372" t="s">
        <v>604</v>
      </c>
      <c r="E372" t="s">
        <v>27</v>
      </c>
      <c r="F372" t="s">
        <v>466</v>
      </c>
      <c r="H372" t="s">
        <v>210</v>
      </c>
      <c r="I372">
        <v>30</v>
      </c>
    </row>
    <row r="373" spans="1:11" x14ac:dyDescent="0.45">
      <c r="A373" t="s">
        <v>46</v>
      </c>
      <c r="B373" t="s">
        <v>42</v>
      </c>
      <c r="C373" t="s">
        <v>25</v>
      </c>
      <c r="D373" t="s">
        <v>605</v>
      </c>
      <c r="E373" t="s">
        <v>27</v>
      </c>
      <c r="F373" t="s">
        <v>466</v>
      </c>
      <c r="H373" t="s">
        <v>210</v>
      </c>
      <c r="I373">
        <v>20</v>
      </c>
    </row>
    <row r="374" spans="1:11" x14ac:dyDescent="0.45">
      <c r="B374" t="s">
        <v>24</v>
      </c>
      <c r="C374" t="s">
        <v>144</v>
      </c>
      <c r="D374" t="s">
        <v>606</v>
      </c>
      <c r="E374" t="s">
        <v>38</v>
      </c>
    </row>
    <row r="375" spans="1:11" x14ac:dyDescent="0.45">
      <c r="B375" t="s">
        <v>24</v>
      </c>
      <c r="C375" t="s">
        <v>178</v>
      </c>
      <c r="D375" t="s">
        <v>607</v>
      </c>
      <c r="E375" t="s">
        <v>131</v>
      </c>
      <c r="G375" t="s">
        <v>499</v>
      </c>
    </row>
    <row r="376" spans="1:11" x14ac:dyDescent="0.45">
      <c r="B376" t="s">
        <v>24</v>
      </c>
      <c r="C376" t="s">
        <v>306</v>
      </c>
      <c r="D376" t="s">
        <v>608</v>
      </c>
      <c r="E376" t="s">
        <v>131</v>
      </c>
    </row>
    <row r="377" spans="1:11" x14ac:dyDescent="0.45">
      <c r="B377" t="s">
        <v>24</v>
      </c>
      <c r="C377" t="s">
        <v>437</v>
      </c>
      <c r="D377" t="s">
        <v>609</v>
      </c>
      <c r="E377" t="s">
        <v>27</v>
      </c>
      <c r="F377" t="s">
        <v>439</v>
      </c>
      <c r="H377" t="s">
        <v>210</v>
      </c>
      <c r="I377">
        <v>20</v>
      </c>
      <c r="K377">
        <v>5</v>
      </c>
    </row>
    <row r="378" spans="1:11" x14ac:dyDescent="0.45">
      <c r="B378" t="s">
        <v>24</v>
      </c>
      <c r="C378" t="s">
        <v>306</v>
      </c>
      <c r="D378" t="s">
        <v>112</v>
      </c>
      <c r="E378" t="s">
        <v>57</v>
      </c>
      <c r="H378" t="s">
        <v>251</v>
      </c>
    </row>
    <row r="379" spans="1:11" x14ac:dyDescent="0.45">
      <c r="B379" t="s">
        <v>24</v>
      </c>
      <c r="C379" t="s">
        <v>25</v>
      </c>
      <c r="D379" t="s">
        <v>610</v>
      </c>
      <c r="E379" t="s">
        <v>131</v>
      </c>
    </row>
    <row r="380" spans="1:11" x14ac:dyDescent="0.45">
      <c r="B380" t="s">
        <v>24</v>
      </c>
      <c r="C380" t="s">
        <v>118</v>
      </c>
      <c r="D380" t="s">
        <v>611</v>
      </c>
      <c r="E380" t="s">
        <v>131</v>
      </c>
    </row>
    <row r="381" spans="1:11" x14ac:dyDescent="0.45">
      <c r="B381" t="s">
        <v>24</v>
      </c>
      <c r="C381" t="s">
        <v>612</v>
      </c>
      <c r="D381" t="s">
        <v>613</v>
      </c>
      <c r="E381" t="s">
        <v>27</v>
      </c>
    </row>
    <row r="382" spans="1:11" x14ac:dyDescent="0.45">
      <c r="B382" t="s">
        <v>24</v>
      </c>
      <c r="C382" t="s">
        <v>25</v>
      </c>
      <c r="D382" t="s">
        <v>614</v>
      </c>
      <c r="E382" t="s">
        <v>131</v>
      </c>
    </row>
    <row r="383" spans="1:11" x14ac:dyDescent="0.45">
      <c r="B383" t="s">
        <v>24</v>
      </c>
      <c r="C383" t="s">
        <v>118</v>
      </c>
      <c r="D383" t="s">
        <v>615</v>
      </c>
      <c r="E383" t="s">
        <v>131</v>
      </c>
      <c r="G383" t="s">
        <v>449</v>
      </c>
    </row>
    <row r="384" spans="1:11" x14ac:dyDescent="0.45">
      <c r="B384" t="s">
        <v>24</v>
      </c>
      <c r="C384" t="s">
        <v>25</v>
      </c>
      <c r="D384" t="s">
        <v>616</v>
      </c>
      <c r="E384" t="s">
        <v>27</v>
      </c>
    </row>
    <row r="385" spans="2:11" x14ac:dyDescent="0.45">
      <c r="B385" t="s">
        <v>24</v>
      </c>
      <c r="C385" t="s">
        <v>25</v>
      </c>
      <c r="D385" t="s">
        <v>617</v>
      </c>
      <c r="E385" t="s">
        <v>27</v>
      </c>
    </row>
    <row r="386" spans="2:11" x14ac:dyDescent="0.45">
      <c r="B386" t="s">
        <v>24</v>
      </c>
      <c r="C386" t="s">
        <v>25</v>
      </c>
      <c r="D386" t="s">
        <v>618</v>
      </c>
      <c r="E386" t="s">
        <v>27</v>
      </c>
    </row>
    <row r="387" spans="2:11" x14ac:dyDescent="0.45">
      <c r="B387" t="s">
        <v>24</v>
      </c>
      <c r="C387" t="s">
        <v>25</v>
      </c>
      <c r="D387" t="s">
        <v>619</v>
      </c>
      <c r="E387" t="s">
        <v>27</v>
      </c>
    </row>
    <row r="388" spans="2:11" x14ac:dyDescent="0.45">
      <c r="B388" t="s">
        <v>24</v>
      </c>
      <c r="C388" t="s">
        <v>25</v>
      </c>
      <c r="D388" t="s">
        <v>620</v>
      </c>
      <c r="E388" t="s">
        <v>27</v>
      </c>
      <c r="G388" t="s">
        <v>299</v>
      </c>
    </row>
    <row r="389" spans="2:11" x14ac:dyDescent="0.45">
      <c r="B389" t="s">
        <v>24</v>
      </c>
      <c r="C389" t="s">
        <v>25</v>
      </c>
      <c r="D389" t="s">
        <v>621</v>
      </c>
      <c r="E389" t="s">
        <v>27</v>
      </c>
      <c r="G389" t="s">
        <v>299</v>
      </c>
    </row>
    <row r="390" spans="2:11" x14ac:dyDescent="0.45">
      <c r="B390" t="s">
        <v>24</v>
      </c>
      <c r="C390" t="s">
        <v>25</v>
      </c>
      <c r="D390" t="s">
        <v>622</v>
      </c>
      <c r="E390" t="s">
        <v>131</v>
      </c>
      <c r="G390" t="s">
        <v>299</v>
      </c>
    </row>
    <row r="391" spans="2:11" x14ac:dyDescent="0.45">
      <c r="B391" t="s">
        <v>24</v>
      </c>
      <c r="C391" t="s">
        <v>437</v>
      </c>
      <c r="D391" t="s">
        <v>623</v>
      </c>
      <c r="E391" t="s">
        <v>27</v>
      </c>
      <c r="F391" t="s">
        <v>439</v>
      </c>
      <c r="H391" t="s">
        <v>210</v>
      </c>
      <c r="I391">
        <v>30</v>
      </c>
      <c r="K391">
        <v>28</v>
      </c>
    </row>
    <row r="392" spans="2:11" x14ac:dyDescent="0.45">
      <c r="B392" t="s">
        <v>24</v>
      </c>
      <c r="C392" t="s">
        <v>556</v>
      </c>
      <c r="D392" t="s">
        <v>624</v>
      </c>
      <c r="E392" t="s">
        <v>27</v>
      </c>
    </row>
    <row r="393" spans="2:11" x14ac:dyDescent="0.45">
      <c r="B393" t="s">
        <v>24</v>
      </c>
      <c r="C393" t="s">
        <v>437</v>
      </c>
      <c r="D393" t="s">
        <v>625</v>
      </c>
      <c r="E393" t="s">
        <v>27</v>
      </c>
      <c r="F393" t="s">
        <v>626</v>
      </c>
      <c r="G393" t="s">
        <v>440</v>
      </c>
      <c r="H393" t="s">
        <v>210</v>
      </c>
      <c r="I393">
        <v>20</v>
      </c>
    </row>
    <row r="394" spans="2:11" x14ac:dyDescent="0.45">
      <c r="B394" t="s">
        <v>24</v>
      </c>
      <c r="C394" t="s">
        <v>25</v>
      </c>
      <c r="D394" t="s">
        <v>627</v>
      </c>
      <c r="E394" t="s">
        <v>27</v>
      </c>
      <c r="H394" t="s">
        <v>51</v>
      </c>
    </row>
    <row r="395" spans="2:11" x14ac:dyDescent="0.45">
      <c r="B395" t="s">
        <v>24</v>
      </c>
      <c r="C395" t="s">
        <v>25</v>
      </c>
      <c r="D395" t="s">
        <v>628</v>
      </c>
      <c r="E395" t="s">
        <v>27</v>
      </c>
      <c r="H395" t="s">
        <v>51</v>
      </c>
    </row>
    <row r="396" spans="2:11" x14ac:dyDescent="0.45">
      <c r="B396" t="s">
        <v>24</v>
      </c>
      <c r="C396" t="s">
        <v>25</v>
      </c>
      <c r="D396" t="s">
        <v>629</v>
      </c>
      <c r="E396" t="s">
        <v>27</v>
      </c>
      <c r="G396" t="s">
        <v>630</v>
      </c>
      <c r="H396" t="s">
        <v>51</v>
      </c>
    </row>
    <row r="397" spans="2:11" x14ac:dyDescent="0.45">
      <c r="B397" t="s">
        <v>24</v>
      </c>
      <c r="C397" t="s">
        <v>25</v>
      </c>
      <c r="D397" t="s">
        <v>631</v>
      </c>
      <c r="E397" t="s">
        <v>131</v>
      </c>
    </row>
    <row r="398" spans="2:11" x14ac:dyDescent="0.45">
      <c r="B398" t="s">
        <v>24</v>
      </c>
      <c r="C398" t="s">
        <v>25</v>
      </c>
      <c r="D398" t="s">
        <v>632</v>
      </c>
      <c r="E398" t="s">
        <v>131</v>
      </c>
      <c r="G398" t="s">
        <v>633</v>
      </c>
    </row>
    <row r="399" spans="2:11" x14ac:dyDescent="0.45">
      <c r="B399" t="s">
        <v>24</v>
      </c>
      <c r="C399" t="s">
        <v>25</v>
      </c>
      <c r="D399" t="s">
        <v>634</v>
      </c>
      <c r="E399" t="s">
        <v>131</v>
      </c>
      <c r="G399" t="s">
        <v>557</v>
      </c>
    </row>
    <row r="400" spans="2:11" x14ac:dyDescent="0.45">
      <c r="B400" t="s">
        <v>24</v>
      </c>
      <c r="C400" t="s">
        <v>105</v>
      </c>
      <c r="D400" t="s">
        <v>635</v>
      </c>
      <c r="E400" t="s">
        <v>57</v>
      </c>
    </row>
    <row r="401" spans="1:9" x14ac:dyDescent="0.45">
      <c r="B401" t="s">
        <v>24</v>
      </c>
      <c r="C401" t="s">
        <v>25</v>
      </c>
      <c r="D401" t="s">
        <v>636</v>
      </c>
      <c r="E401" t="s">
        <v>131</v>
      </c>
    </row>
    <row r="402" spans="1:9" x14ac:dyDescent="0.45">
      <c r="B402" t="s">
        <v>24</v>
      </c>
      <c r="C402" t="s">
        <v>25</v>
      </c>
      <c r="D402" t="s">
        <v>637</v>
      </c>
      <c r="E402" t="s">
        <v>131</v>
      </c>
    </row>
    <row r="403" spans="1:9" x14ac:dyDescent="0.45">
      <c r="B403" t="s">
        <v>24</v>
      </c>
      <c r="C403" t="s">
        <v>638</v>
      </c>
      <c r="D403" t="s">
        <v>639</v>
      </c>
      <c r="E403" t="s">
        <v>27</v>
      </c>
    </row>
    <row r="404" spans="1:9" x14ac:dyDescent="0.45">
      <c r="B404" t="s">
        <v>24</v>
      </c>
      <c r="C404" t="s">
        <v>25</v>
      </c>
      <c r="D404" t="s">
        <v>640</v>
      </c>
      <c r="E404" t="s">
        <v>131</v>
      </c>
    </row>
    <row r="405" spans="1:9" x14ac:dyDescent="0.45">
      <c r="B405" t="s">
        <v>24</v>
      </c>
      <c r="C405" t="s">
        <v>105</v>
      </c>
      <c r="D405" t="s">
        <v>641</v>
      </c>
      <c r="E405" t="s">
        <v>200</v>
      </c>
      <c r="H405" t="s">
        <v>211</v>
      </c>
      <c r="I405">
        <v>30</v>
      </c>
    </row>
    <row r="406" spans="1:9" x14ac:dyDescent="0.45">
      <c r="B406" t="s">
        <v>24</v>
      </c>
      <c r="C406" t="s">
        <v>55</v>
      </c>
      <c r="D406" t="s">
        <v>642</v>
      </c>
      <c r="E406" t="s">
        <v>131</v>
      </c>
    </row>
    <row r="407" spans="1:9" x14ac:dyDescent="0.45">
      <c r="A407" t="s">
        <v>72</v>
      </c>
      <c r="B407" t="s">
        <v>24</v>
      </c>
      <c r="C407" t="s">
        <v>25</v>
      </c>
      <c r="D407" t="s">
        <v>643</v>
      </c>
      <c r="E407" t="s">
        <v>131</v>
      </c>
    </row>
    <row r="408" spans="1:9" x14ac:dyDescent="0.45">
      <c r="B408" t="s">
        <v>24</v>
      </c>
      <c r="C408" t="s">
        <v>25</v>
      </c>
      <c r="D408" t="s">
        <v>644</v>
      </c>
      <c r="E408" t="s">
        <v>131</v>
      </c>
    </row>
    <row r="409" spans="1:9" x14ac:dyDescent="0.45">
      <c r="B409" t="s">
        <v>24</v>
      </c>
      <c r="C409" t="s">
        <v>25</v>
      </c>
      <c r="D409" t="s">
        <v>645</v>
      </c>
      <c r="E409" t="s">
        <v>131</v>
      </c>
    </row>
    <row r="410" spans="1:9" x14ac:dyDescent="0.45">
      <c r="B410" t="s">
        <v>24</v>
      </c>
      <c r="C410" t="s">
        <v>25</v>
      </c>
      <c r="D410" t="s">
        <v>646</v>
      </c>
      <c r="E410" t="s">
        <v>131</v>
      </c>
    </row>
    <row r="411" spans="1:9" x14ac:dyDescent="0.45">
      <c r="A411" t="s">
        <v>72</v>
      </c>
      <c r="B411" t="s">
        <v>42</v>
      </c>
      <c r="C411" t="s">
        <v>43</v>
      </c>
      <c r="D411" t="s">
        <v>647</v>
      </c>
      <c r="E411" t="s">
        <v>131</v>
      </c>
    </row>
    <row r="412" spans="1:9" x14ac:dyDescent="0.45">
      <c r="B412" t="s">
        <v>24</v>
      </c>
      <c r="C412" t="s">
        <v>306</v>
      </c>
      <c r="D412" t="s">
        <v>648</v>
      </c>
      <c r="E412" t="s">
        <v>27</v>
      </c>
    </row>
    <row r="413" spans="1:9" x14ac:dyDescent="0.45">
      <c r="B413" t="s">
        <v>24</v>
      </c>
      <c r="C413" t="s">
        <v>306</v>
      </c>
      <c r="D413" t="s">
        <v>649</v>
      </c>
      <c r="E413" t="s">
        <v>27</v>
      </c>
    </row>
    <row r="414" spans="1:9" x14ac:dyDescent="0.45">
      <c r="B414" t="s">
        <v>24</v>
      </c>
      <c r="C414" t="s">
        <v>25</v>
      </c>
      <c r="D414" t="s">
        <v>650</v>
      </c>
      <c r="E414" t="s">
        <v>131</v>
      </c>
    </row>
    <row r="415" spans="1:9" x14ac:dyDescent="0.45">
      <c r="B415" t="s">
        <v>24</v>
      </c>
      <c r="C415" t="s">
        <v>25</v>
      </c>
      <c r="D415" t="s">
        <v>651</v>
      </c>
      <c r="E415" t="s">
        <v>131</v>
      </c>
    </row>
    <row r="416" spans="1:9" x14ac:dyDescent="0.45">
      <c r="B416" t="s">
        <v>24</v>
      </c>
      <c r="C416" t="s">
        <v>178</v>
      </c>
      <c r="D416" t="s">
        <v>652</v>
      </c>
      <c r="E416" t="s">
        <v>131</v>
      </c>
    </row>
    <row r="417" spans="1:11" x14ac:dyDescent="0.45">
      <c r="B417" t="s">
        <v>24</v>
      </c>
      <c r="C417" t="s">
        <v>437</v>
      </c>
      <c r="D417" t="s">
        <v>653</v>
      </c>
      <c r="E417" t="s">
        <v>27</v>
      </c>
      <c r="F417" t="s">
        <v>626</v>
      </c>
      <c r="H417" t="s">
        <v>210</v>
      </c>
      <c r="I417">
        <v>30</v>
      </c>
    </row>
    <row r="418" spans="1:11" x14ac:dyDescent="0.45">
      <c r="A418" t="s">
        <v>72</v>
      </c>
      <c r="B418" t="s">
        <v>24</v>
      </c>
      <c r="C418" t="s">
        <v>437</v>
      </c>
      <c r="D418" t="s">
        <v>654</v>
      </c>
      <c r="E418" t="s">
        <v>27</v>
      </c>
      <c r="F418" t="s">
        <v>626</v>
      </c>
      <c r="G418" t="s">
        <v>655</v>
      </c>
      <c r="H418" t="s">
        <v>211</v>
      </c>
      <c r="I418">
        <v>50</v>
      </c>
      <c r="J418" t="s">
        <v>122</v>
      </c>
      <c r="K418">
        <v>17</v>
      </c>
    </row>
    <row r="419" spans="1:11" x14ac:dyDescent="0.45">
      <c r="B419" t="s">
        <v>24</v>
      </c>
      <c r="C419" t="s">
        <v>25</v>
      </c>
      <c r="D419" t="s">
        <v>656</v>
      </c>
      <c r="E419" t="s">
        <v>38</v>
      </c>
    </row>
    <row r="420" spans="1:11" x14ac:dyDescent="0.45">
      <c r="B420" t="s">
        <v>24</v>
      </c>
      <c r="C420" t="s">
        <v>25</v>
      </c>
      <c r="D420" t="s">
        <v>657</v>
      </c>
      <c r="E420" t="s">
        <v>27</v>
      </c>
      <c r="F420" t="s">
        <v>535</v>
      </c>
      <c r="G420" t="s">
        <v>440</v>
      </c>
      <c r="H420" t="s">
        <v>211</v>
      </c>
    </row>
    <row r="421" spans="1:11" x14ac:dyDescent="0.45">
      <c r="B421" t="s">
        <v>24</v>
      </c>
      <c r="C421" t="s">
        <v>25</v>
      </c>
      <c r="D421" t="s">
        <v>658</v>
      </c>
      <c r="E421" t="s">
        <v>27</v>
      </c>
      <c r="F421" t="s">
        <v>511</v>
      </c>
      <c r="H421" t="s">
        <v>211</v>
      </c>
      <c r="K421">
        <v>25</v>
      </c>
    </row>
    <row r="422" spans="1:11" x14ac:dyDescent="0.45">
      <c r="B422" t="s">
        <v>24</v>
      </c>
      <c r="C422" t="s">
        <v>25</v>
      </c>
      <c r="D422" t="s">
        <v>659</v>
      </c>
      <c r="E422" t="s">
        <v>27</v>
      </c>
      <c r="F422" t="s">
        <v>511</v>
      </c>
      <c r="G422" t="s">
        <v>440</v>
      </c>
      <c r="H422" t="s">
        <v>211</v>
      </c>
    </row>
    <row r="423" spans="1:11" x14ac:dyDescent="0.45">
      <c r="B423" t="s">
        <v>24</v>
      </c>
      <c r="C423" t="s">
        <v>25</v>
      </c>
      <c r="D423" t="s">
        <v>660</v>
      </c>
      <c r="E423" t="s">
        <v>131</v>
      </c>
    </row>
    <row r="424" spans="1:11" x14ac:dyDescent="0.45">
      <c r="B424" t="s">
        <v>24</v>
      </c>
      <c r="C424" t="s">
        <v>25</v>
      </c>
      <c r="D424" t="s">
        <v>661</v>
      </c>
      <c r="E424" t="s">
        <v>131</v>
      </c>
    </row>
    <row r="425" spans="1:11" x14ac:dyDescent="0.45">
      <c r="B425" t="s">
        <v>42</v>
      </c>
      <c r="C425" t="s">
        <v>43</v>
      </c>
      <c r="D425" t="s">
        <v>662</v>
      </c>
      <c r="E425" t="s">
        <v>131</v>
      </c>
    </row>
    <row r="426" spans="1:11" x14ac:dyDescent="0.45">
      <c r="B426" t="s">
        <v>592</v>
      </c>
      <c r="C426" t="s">
        <v>105</v>
      </c>
      <c r="D426" t="s">
        <v>663</v>
      </c>
      <c r="E426" t="s">
        <v>57</v>
      </c>
    </row>
    <row r="427" spans="1:11" x14ac:dyDescent="0.45">
      <c r="B427" t="s">
        <v>24</v>
      </c>
      <c r="C427" t="s">
        <v>25</v>
      </c>
      <c r="D427" t="s">
        <v>664</v>
      </c>
      <c r="E427" t="s">
        <v>57</v>
      </c>
    </row>
    <row r="428" spans="1:11" x14ac:dyDescent="0.45">
      <c r="B428" t="s">
        <v>24</v>
      </c>
      <c r="C428" t="s">
        <v>521</v>
      </c>
      <c r="D428" t="s">
        <v>665</v>
      </c>
      <c r="E428" t="s">
        <v>57</v>
      </c>
    </row>
    <row r="429" spans="1:11" x14ac:dyDescent="0.45">
      <c r="B429" t="s">
        <v>54</v>
      </c>
      <c r="C429" t="s">
        <v>666</v>
      </c>
      <c r="D429" t="s">
        <v>667</v>
      </c>
      <c r="E429" t="s">
        <v>131</v>
      </c>
    </row>
    <row r="430" spans="1:11" x14ac:dyDescent="0.45">
      <c r="B430" t="s">
        <v>592</v>
      </c>
      <c r="C430" t="s">
        <v>105</v>
      </c>
      <c r="D430" t="s">
        <v>668</v>
      </c>
      <c r="E430" t="s">
        <v>131</v>
      </c>
    </row>
    <row r="431" spans="1:11" x14ac:dyDescent="0.45">
      <c r="B431" t="s">
        <v>592</v>
      </c>
      <c r="C431" t="s">
        <v>105</v>
      </c>
      <c r="D431" t="s">
        <v>669</v>
      </c>
      <c r="E431" t="s">
        <v>131</v>
      </c>
    </row>
    <row r="432" spans="1:11" x14ac:dyDescent="0.45">
      <c r="A432" t="s">
        <v>394</v>
      </c>
      <c r="B432" t="s">
        <v>592</v>
      </c>
      <c r="C432" t="s">
        <v>105</v>
      </c>
      <c r="D432" t="s">
        <v>670</v>
      </c>
      <c r="E432" t="s">
        <v>131</v>
      </c>
    </row>
    <row r="433" spans="1:11" x14ac:dyDescent="0.45">
      <c r="B433" t="s">
        <v>54</v>
      </c>
      <c r="C433" t="s">
        <v>666</v>
      </c>
      <c r="D433" t="s">
        <v>671</v>
      </c>
      <c r="E433" t="s">
        <v>131</v>
      </c>
    </row>
    <row r="434" spans="1:11" x14ac:dyDescent="0.45">
      <c r="A434" t="s">
        <v>394</v>
      </c>
      <c r="B434" t="s">
        <v>592</v>
      </c>
      <c r="C434" t="s">
        <v>105</v>
      </c>
      <c r="D434" t="s">
        <v>672</v>
      </c>
      <c r="E434" t="s">
        <v>131</v>
      </c>
    </row>
    <row r="435" spans="1:11" x14ac:dyDescent="0.45">
      <c r="B435" t="s">
        <v>592</v>
      </c>
      <c r="C435" t="s">
        <v>105</v>
      </c>
      <c r="D435" t="s">
        <v>673</v>
      </c>
      <c r="E435" t="s">
        <v>131</v>
      </c>
    </row>
    <row r="436" spans="1:11" x14ac:dyDescent="0.45">
      <c r="B436" t="s">
        <v>674</v>
      </c>
      <c r="C436" t="s">
        <v>25</v>
      </c>
      <c r="D436" t="s">
        <v>675</v>
      </c>
      <c r="E436" t="s">
        <v>131</v>
      </c>
    </row>
    <row r="437" spans="1:11" x14ac:dyDescent="0.45">
      <c r="B437" t="s">
        <v>24</v>
      </c>
      <c r="C437" t="s">
        <v>25</v>
      </c>
      <c r="D437" t="s">
        <v>676</v>
      </c>
      <c r="E437" t="s">
        <v>131</v>
      </c>
    </row>
    <row r="438" spans="1:11" x14ac:dyDescent="0.45">
      <c r="A438" t="s">
        <v>217</v>
      </c>
      <c r="B438" t="s">
        <v>24</v>
      </c>
      <c r="C438" t="s">
        <v>25</v>
      </c>
      <c r="D438" t="s">
        <v>677</v>
      </c>
      <c r="E438" t="s">
        <v>27</v>
      </c>
      <c r="F438" t="s">
        <v>511</v>
      </c>
      <c r="H438" t="s">
        <v>211</v>
      </c>
    </row>
    <row r="439" spans="1:11" x14ac:dyDescent="0.45">
      <c r="B439" t="s">
        <v>24</v>
      </c>
      <c r="C439" t="s">
        <v>118</v>
      </c>
      <c r="D439" t="s">
        <v>678</v>
      </c>
      <c r="E439" t="s">
        <v>27</v>
      </c>
      <c r="H439" t="s">
        <v>211</v>
      </c>
    </row>
    <row r="440" spans="1:11" x14ac:dyDescent="0.45">
      <c r="B440" t="s">
        <v>24</v>
      </c>
      <c r="C440" t="s">
        <v>257</v>
      </c>
      <c r="D440" t="s">
        <v>679</v>
      </c>
      <c r="E440" t="s">
        <v>27</v>
      </c>
      <c r="F440" t="s">
        <v>567</v>
      </c>
      <c r="G440" t="s">
        <v>301</v>
      </c>
    </row>
    <row r="441" spans="1:11" x14ac:dyDescent="0.45">
      <c r="B441" t="s">
        <v>24</v>
      </c>
      <c r="C441" t="s">
        <v>284</v>
      </c>
      <c r="D441" t="s">
        <v>680</v>
      </c>
      <c r="E441" t="s">
        <v>27</v>
      </c>
      <c r="F441" t="s">
        <v>567</v>
      </c>
      <c r="G441" t="s">
        <v>381</v>
      </c>
      <c r="H441" t="s">
        <v>251</v>
      </c>
      <c r="K441">
        <v>15</v>
      </c>
    </row>
    <row r="442" spans="1:11" x14ac:dyDescent="0.45">
      <c r="B442" t="s">
        <v>24</v>
      </c>
      <c r="C442" t="s">
        <v>475</v>
      </c>
      <c r="D442" t="s">
        <v>681</v>
      </c>
      <c r="E442" t="s">
        <v>27</v>
      </c>
      <c r="F442" t="s">
        <v>567</v>
      </c>
    </row>
    <row r="443" spans="1:11" x14ac:dyDescent="0.45">
      <c r="B443" t="s">
        <v>24</v>
      </c>
      <c r="C443" t="s">
        <v>284</v>
      </c>
      <c r="D443" t="s">
        <v>682</v>
      </c>
      <c r="E443" t="s">
        <v>27</v>
      </c>
      <c r="F443" t="s">
        <v>567</v>
      </c>
      <c r="G443" t="s">
        <v>398</v>
      </c>
    </row>
    <row r="444" spans="1:11" x14ac:dyDescent="0.45">
      <c r="B444" t="s">
        <v>24</v>
      </c>
      <c r="C444" t="s">
        <v>114</v>
      </c>
      <c r="D444" t="s">
        <v>683</v>
      </c>
      <c r="E444" t="s">
        <v>27</v>
      </c>
      <c r="G444" t="s">
        <v>474</v>
      </c>
    </row>
    <row r="445" spans="1:11" x14ac:dyDescent="0.45">
      <c r="B445" t="s">
        <v>24</v>
      </c>
      <c r="C445" t="s">
        <v>178</v>
      </c>
      <c r="D445" t="s">
        <v>684</v>
      </c>
      <c r="E445" t="s">
        <v>131</v>
      </c>
      <c r="G445" t="s">
        <v>299</v>
      </c>
    </row>
    <row r="446" spans="1:11" x14ac:dyDescent="0.45">
      <c r="B446" t="s">
        <v>24</v>
      </c>
      <c r="C446" t="s">
        <v>521</v>
      </c>
      <c r="D446" t="s">
        <v>685</v>
      </c>
      <c r="E446" t="s">
        <v>27</v>
      </c>
    </row>
    <row r="447" spans="1:11" x14ac:dyDescent="0.45">
      <c r="B447" t="s">
        <v>24</v>
      </c>
      <c r="C447" t="s">
        <v>25</v>
      </c>
      <c r="D447" t="s">
        <v>686</v>
      </c>
      <c r="E447" t="s">
        <v>131</v>
      </c>
      <c r="G447" t="s">
        <v>499</v>
      </c>
    </row>
    <row r="448" spans="1:11" x14ac:dyDescent="0.45">
      <c r="B448" t="s">
        <v>24</v>
      </c>
      <c r="C448" t="s">
        <v>25</v>
      </c>
      <c r="D448" t="s">
        <v>687</v>
      </c>
      <c r="E448" t="s">
        <v>27</v>
      </c>
    </row>
    <row r="449" spans="1:8" x14ac:dyDescent="0.45">
      <c r="B449" t="s">
        <v>24</v>
      </c>
      <c r="C449" t="s">
        <v>306</v>
      </c>
      <c r="D449" t="s">
        <v>688</v>
      </c>
      <c r="E449" t="s">
        <v>131</v>
      </c>
      <c r="F449" t="s">
        <v>524</v>
      </c>
      <c r="H449" t="s">
        <v>211</v>
      </c>
    </row>
    <row r="450" spans="1:8" x14ac:dyDescent="0.45">
      <c r="B450" t="s">
        <v>24</v>
      </c>
      <c r="C450" t="s">
        <v>25</v>
      </c>
      <c r="D450" t="s">
        <v>689</v>
      </c>
      <c r="E450" t="s">
        <v>131</v>
      </c>
      <c r="G450" t="s">
        <v>499</v>
      </c>
    </row>
    <row r="451" spans="1:8" x14ac:dyDescent="0.45">
      <c r="B451" t="s">
        <v>24</v>
      </c>
      <c r="C451" t="s">
        <v>25</v>
      </c>
      <c r="D451" t="s">
        <v>690</v>
      </c>
      <c r="E451" t="s">
        <v>131</v>
      </c>
      <c r="G451" t="s">
        <v>381</v>
      </c>
    </row>
    <row r="452" spans="1:8" x14ac:dyDescent="0.45">
      <c r="B452" t="s">
        <v>24</v>
      </c>
      <c r="C452" t="s">
        <v>25</v>
      </c>
      <c r="D452" t="s">
        <v>691</v>
      </c>
      <c r="E452" t="s">
        <v>27</v>
      </c>
    </row>
    <row r="453" spans="1:8" x14ac:dyDescent="0.45">
      <c r="B453" t="s">
        <v>24</v>
      </c>
      <c r="C453" t="s">
        <v>25</v>
      </c>
      <c r="D453" t="s">
        <v>692</v>
      </c>
      <c r="E453" t="s">
        <v>27</v>
      </c>
      <c r="F453" t="s">
        <v>529</v>
      </c>
      <c r="G453" t="s">
        <v>301</v>
      </c>
      <c r="H453" t="s">
        <v>251</v>
      </c>
    </row>
    <row r="454" spans="1:8" x14ac:dyDescent="0.45">
      <c r="B454" t="s">
        <v>24</v>
      </c>
      <c r="C454" t="s">
        <v>25</v>
      </c>
      <c r="D454" t="s">
        <v>693</v>
      </c>
      <c r="E454" t="s">
        <v>27</v>
      </c>
    </row>
    <row r="455" spans="1:8" x14ac:dyDescent="0.45">
      <c r="B455" t="s">
        <v>24</v>
      </c>
      <c r="C455" t="s">
        <v>25</v>
      </c>
      <c r="D455" t="s">
        <v>694</v>
      </c>
      <c r="E455" t="s">
        <v>27</v>
      </c>
    </row>
    <row r="456" spans="1:8" x14ac:dyDescent="0.45">
      <c r="B456" t="s">
        <v>24</v>
      </c>
      <c r="C456" t="s">
        <v>25</v>
      </c>
      <c r="D456" t="s">
        <v>695</v>
      </c>
      <c r="E456" t="s">
        <v>131</v>
      </c>
    </row>
    <row r="457" spans="1:8" x14ac:dyDescent="0.45">
      <c r="B457" t="s">
        <v>42</v>
      </c>
      <c r="C457" t="s">
        <v>43</v>
      </c>
      <c r="D457" t="s">
        <v>696</v>
      </c>
      <c r="E457" t="s">
        <v>27</v>
      </c>
      <c r="F457" t="s">
        <v>583</v>
      </c>
      <c r="H457" t="s">
        <v>251</v>
      </c>
    </row>
    <row r="458" spans="1:8" x14ac:dyDescent="0.45">
      <c r="A458" t="s">
        <v>32</v>
      </c>
      <c r="B458" t="s">
        <v>24</v>
      </c>
      <c r="C458" t="s">
        <v>25</v>
      </c>
      <c r="D458" t="s">
        <v>697</v>
      </c>
      <c r="E458" t="s">
        <v>27</v>
      </c>
      <c r="F458" t="s">
        <v>583</v>
      </c>
      <c r="H458" t="s">
        <v>251</v>
      </c>
    </row>
    <row r="459" spans="1:8" x14ac:dyDescent="0.45">
      <c r="B459" t="s">
        <v>42</v>
      </c>
      <c r="C459" t="s">
        <v>698</v>
      </c>
      <c r="D459" t="s">
        <v>699</v>
      </c>
      <c r="E459" t="s">
        <v>27</v>
      </c>
      <c r="F459" t="s">
        <v>583</v>
      </c>
    </row>
    <row r="460" spans="1:8" x14ac:dyDescent="0.45">
      <c r="B460" t="s">
        <v>24</v>
      </c>
      <c r="C460" t="s">
        <v>437</v>
      </c>
      <c r="D460" t="s">
        <v>700</v>
      </c>
      <c r="E460" t="s">
        <v>27</v>
      </c>
      <c r="F460" t="s">
        <v>583</v>
      </c>
      <c r="G460" t="s">
        <v>301</v>
      </c>
    </row>
    <row r="461" spans="1:8" x14ac:dyDescent="0.45">
      <c r="B461" t="s">
        <v>24</v>
      </c>
      <c r="C461" t="s">
        <v>437</v>
      </c>
      <c r="D461" t="s">
        <v>701</v>
      </c>
      <c r="E461" t="s">
        <v>27</v>
      </c>
      <c r="F461" t="s">
        <v>583</v>
      </c>
      <c r="H461" t="s">
        <v>251</v>
      </c>
    </row>
    <row r="462" spans="1:8" x14ac:dyDescent="0.45">
      <c r="B462" t="s">
        <v>42</v>
      </c>
      <c r="C462" t="s">
        <v>698</v>
      </c>
      <c r="D462" t="s">
        <v>702</v>
      </c>
      <c r="E462" t="s">
        <v>27</v>
      </c>
      <c r="F462" t="s">
        <v>583</v>
      </c>
    </row>
    <row r="463" spans="1:8" x14ac:dyDescent="0.45">
      <c r="A463" t="s">
        <v>72</v>
      </c>
      <c r="B463" t="s">
        <v>24</v>
      </c>
      <c r="C463" t="s">
        <v>437</v>
      </c>
      <c r="D463" t="s">
        <v>703</v>
      </c>
      <c r="E463" t="s">
        <v>27</v>
      </c>
      <c r="F463" t="s">
        <v>583</v>
      </c>
      <c r="G463" t="s">
        <v>301</v>
      </c>
      <c r="H463" t="s">
        <v>251</v>
      </c>
    </row>
    <row r="464" spans="1:8" x14ac:dyDescent="0.45">
      <c r="B464" t="s">
        <v>24</v>
      </c>
      <c r="C464" t="s">
        <v>25</v>
      </c>
      <c r="D464" t="s">
        <v>704</v>
      </c>
      <c r="E464" t="s">
        <v>131</v>
      </c>
    </row>
    <row r="465" spans="1:11" x14ac:dyDescent="0.45">
      <c r="B465" t="s">
        <v>24</v>
      </c>
      <c r="C465" t="s">
        <v>25</v>
      </c>
      <c r="D465" t="s">
        <v>705</v>
      </c>
      <c r="E465" t="s">
        <v>131</v>
      </c>
    </row>
    <row r="466" spans="1:11" x14ac:dyDescent="0.45">
      <c r="B466" t="s">
        <v>24</v>
      </c>
      <c r="C466" t="s">
        <v>25</v>
      </c>
      <c r="D466" t="s">
        <v>706</v>
      </c>
      <c r="E466" t="s">
        <v>27</v>
      </c>
    </row>
    <row r="467" spans="1:11" x14ac:dyDescent="0.45">
      <c r="B467" t="s">
        <v>24</v>
      </c>
      <c r="C467" t="s">
        <v>25</v>
      </c>
      <c r="D467" t="s">
        <v>707</v>
      </c>
      <c r="E467" t="s">
        <v>27</v>
      </c>
      <c r="F467" t="s">
        <v>576</v>
      </c>
    </row>
    <row r="468" spans="1:11" x14ac:dyDescent="0.45">
      <c r="A468" t="s">
        <v>46</v>
      </c>
      <c r="B468" t="s">
        <v>24</v>
      </c>
      <c r="C468" t="s">
        <v>257</v>
      </c>
      <c r="D468" t="s">
        <v>708</v>
      </c>
      <c r="E468" t="s">
        <v>27</v>
      </c>
      <c r="F468" t="s">
        <v>576</v>
      </c>
      <c r="H468" t="s">
        <v>251</v>
      </c>
      <c r="I468">
        <v>50</v>
      </c>
      <c r="K468">
        <v>24</v>
      </c>
    </row>
    <row r="469" spans="1:11" x14ac:dyDescent="0.45">
      <c r="B469" t="s">
        <v>24</v>
      </c>
      <c r="C469" t="s">
        <v>346</v>
      </c>
      <c r="D469" t="s">
        <v>709</v>
      </c>
      <c r="E469" t="s">
        <v>131</v>
      </c>
    </row>
    <row r="470" spans="1:11" x14ac:dyDescent="0.45">
      <c r="B470" t="s">
        <v>24</v>
      </c>
      <c r="C470" t="s">
        <v>121</v>
      </c>
      <c r="D470" t="s">
        <v>710</v>
      </c>
      <c r="E470" t="s">
        <v>27</v>
      </c>
      <c r="G470" t="s">
        <v>299</v>
      </c>
    </row>
    <row r="471" spans="1:11" x14ac:dyDescent="0.45">
      <c r="B471" t="s">
        <v>24</v>
      </c>
      <c r="C471" t="s">
        <v>25</v>
      </c>
      <c r="D471" t="s">
        <v>711</v>
      </c>
      <c r="E471" t="s">
        <v>131</v>
      </c>
      <c r="G471" t="s">
        <v>303</v>
      </c>
    </row>
    <row r="472" spans="1:11" x14ac:dyDescent="0.45">
      <c r="B472" t="s">
        <v>24</v>
      </c>
      <c r="C472" t="s">
        <v>25</v>
      </c>
      <c r="D472" t="s">
        <v>712</v>
      </c>
      <c r="E472" t="s">
        <v>131</v>
      </c>
    </row>
    <row r="473" spans="1:11" x14ac:dyDescent="0.45">
      <c r="B473" t="s">
        <v>24</v>
      </c>
      <c r="C473" t="s">
        <v>25</v>
      </c>
      <c r="D473" t="s">
        <v>713</v>
      </c>
      <c r="E473" t="s">
        <v>131</v>
      </c>
    </row>
    <row r="474" spans="1:11" x14ac:dyDescent="0.45">
      <c r="B474" t="s">
        <v>24</v>
      </c>
      <c r="C474" t="s">
        <v>25</v>
      </c>
      <c r="D474" t="s">
        <v>714</v>
      </c>
      <c r="E474" t="s">
        <v>131</v>
      </c>
    </row>
    <row r="475" spans="1:11" x14ac:dyDescent="0.45">
      <c r="B475" t="s">
        <v>24</v>
      </c>
      <c r="C475" t="s">
        <v>178</v>
      </c>
      <c r="D475" t="s">
        <v>715</v>
      </c>
      <c r="E475" t="s">
        <v>131</v>
      </c>
    </row>
    <row r="476" spans="1:11" x14ac:dyDescent="0.45">
      <c r="B476" t="s">
        <v>24</v>
      </c>
      <c r="C476" t="s">
        <v>25</v>
      </c>
      <c r="D476" t="s">
        <v>716</v>
      </c>
      <c r="E476" t="s">
        <v>40</v>
      </c>
    </row>
    <row r="477" spans="1:11" x14ac:dyDescent="0.45">
      <c r="B477" t="s">
        <v>24</v>
      </c>
      <c r="C477" t="s">
        <v>25</v>
      </c>
      <c r="D477" t="s">
        <v>717</v>
      </c>
      <c r="E477" t="s">
        <v>245</v>
      </c>
      <c r="G477" t="s">
        <v>289</v>
      </c>
      <c r="H477" t="s">
        <v>251</v>
      </c>
    </row>
    <row r="478" spans="1:11" x14ac:dyDescent="0.45">
      <c r="B478" t="s">
        <v>24</v>
      </c>
      <c r="C478" t="s">
        <v>121</v>
      </c>
      <c r="D478" t="s">
        <v>718</v>
      </c>
      <c r="E478" t="s">
        <v>131</v>
      </c>
      <c r="G478" t="s">
        <v>374</v>
      </c>
    </row>
    <row r="479" spans="1:11" x14ac:dyDescent="0.45">
      <c r="B479" t="s">
        <v>24</v>
      </c>
      <c r="C479" t="s">
        <v>25</v>
      </c>
      <c r="D479" t="s">
        <v>719</v>
      </c>
      <c r="E479" t="s">
        <v>131</v>
      </c>
      <c r="F479" t="s">
        <v>229</v>
      </c>
    </row>
    <row r="480" spans="1:11" x14ac:dyDescent="0.45">
      <c r="B480" t="s">
        <v>24</v>
      </c>
      <c r="C480" t="s">
        <v>25</v>
      </c>
      <c r="D480" t="s">
        <v>720</v>
      </c>
      <c r="E480" t="s">
        <v>131</v>
      </c>
    </row>
    <row r="481" spans="1:7" x14ac:dyDescent="0.45">
      <c r="B481" t="s">
        <v>24</v>
      </c>
      <c r="C481" t="s">
        <v>25</v>
      </c>
      <c r="D481" t="s">
        <v>721</v>
      </c>
      <c r="E481" t="s">
        <v>27</v>
      </c>
    </row>
    <row r="482" spans="1:7" x14ac:dyDescent="0.45">
      <c r="B482" t="s">
        <v>24</v>
      </c>
      <c r="C482" t="s">
        <v>25</v>
      </c>
      <c r="D482" t="s">
        <v>722</v>
      </c>
      <c r="E482" t="s">
        <v>131</v>
      </c>
    </row>
    <row r="483" spans="1:7" x14ac:dyDescent="0.45">
      <c r="B483" t="s">
        <v>24</v>
      </c>
      <c r="C483" t="s">
        <v>100</v>
      </c>
      <c r="D483" t="s">
        <v>723</v>
      </c>
      <c r="E483" t="s">
        <v>131</v>
      </c>
    </row>
    <row r="484" spans="1:7" x14ac:dyDescent="0.45">
      <c r="B484" t="s">
        <v>24</v>
      </c>
      <c r="C484" t="s">
        <v>25</v>
      </c>
      <c r="D484" t="s">
        <v>724</v>
      </c>
      <c r="E484" t="s">
        <v>27</v>
      </c>
      <c r="F484" t="s">
        <v>725</v>
      </c>
    </row>
    <row r="485" spans="1:7" x14ac:dyDescent="0.45">
      <c r="B485" t="s">
        <v>24</v>
      </c>
      <c r="C485" t="s">
        <v>284</v>
      </c>
      <c r="D485" t="s">
        <v>726</v>
      </c>
      <c r="E485" t="s">
        <v>27</v>
      </c>
      <c r="F485" t="s">
        <v>725</v>
      </c>
      <c r="G485" t="s">
        <v>398</v>
      </c>
    </row>
    <row r="486" spans="1:7" x14ac:dyDescent="0.45">
      <c r="A486" t="s">
        <v>46</v>
      </c>
      <c r="B486" t="s">
        <v>24</v>
      </c>
      <c r="C486" t="s">
        <v>727</v>
      </c>
      <c r="D486" t="s">
        <v>728</v>
      </c>
      <c r="E486" t="s">
        <v>27</v>
      </c>
      <c r="F486" t="s">
        <v>725</v>
      </c>
      <c r="G486" t="s">
        <v>241</v>
      </c>
    </row>
    <row r="487" spans="1:7" x14ac:dyDescent="0.45">
      <c r="B487" t="s">
        <v>24</v>
      </c>
      <c r="C487" t="s">
        <v>25</v>
      </c>
      <c r="D487" t="s">
        <v>729</v>
      </c>
      <c r="E487" t="s">
        <v>40</v>
      </c>
    </row>
    <row r="488" spans="1:7" x14ac:dyDescent="0.45">
      <c r="B488" t="s">
        <v>24</v>
      </c>
      <c r="C488" t="s">
        <v>257</v>
      </c>
      <c r="D488" t="s">
        <v>730</v>
      </c>
      <c r="E488" t="s">
        <v>27</v>
      </c>
      <c r="G488" t="s">
        <v>449</v>
      </c>
    </row>
    <row r="489" spans="1:7" x14ac:dyDescent="0.45">
      <c r="B489" t="s">
        <v>24</v>
      </c>
      <c r="C489" t="s">
        <v>199</v>
      </c>
      <c r="D489" t="s">
        <v>731</v>
      </c>
      <c r="E489" t="s">
        <v>131</v>
      </c>
    </row>
    <row r="490" spans="1:7" x14ac:dyDescent="0.45">
      <c r="B490" t="s">
        <v>24</v>
      </c>
      <c r="C490" t="s">
        <v>199</v>
      </c>
      <c r="D490" t="s">
        <v>732</v>
      </c>
      <c r="E490" t="s">
        <v>131</v>
      </c>
    </row>
    <row r="491" spans="1:7" x14ac:dyDescent="0.45">
      <c r="B491" t="s">
        <v>24</v>
      </c>
      <c r="C491" t="s">
        <v>121</v>
      </c>
      <c r="D491" t="s">
        <v>733</v>
      </c>
      <c r="E491" t="s">
        <v>131</v>
      </c>
      <c r="F491" t="s">
        <v>229</v>
      </c>
    </row>
    <row r="492" spans="1:7" x14ac:dyDescent="0.45">
      <c r="B492" t="s">
        <v>24</v>
      </c>
      <c r="C492" t="s">
        <v>306</v>
      </c>
      <c r="D492" t="s">
        <v>734</v>
      </c>
      <c r="E492" t="s">
        <v>131</v>
      </c>
    </row>
    <row r="493" spans="1:7" x14ac:dyDescent="0.45">
      <c r="B493" t="s">
        <v>24</v>
      </c>
      <c r="C493" t="s">
        <v>178</v>
      </c>
      <c r="D493" t="s">
        <v>735</v>
      </c>
      <c r="E493" t="s">
        <v>131</v>
      </c>
    </row>
    <row r="494" spans="1:7" x14ac:dyDescent="0.45">
      <c r="B494" t="s">
        <v>24</v>
      </c>
      <c r="C494" t="s">
        <v>306</v>
      </c>
      <c r="D494" t="s">
        <v>736</v>
      </c>
      <c r="E494" t="s">
        <v>27</v>
      </c>
    </row>
    <row r="495" spans="1:7" x14ac:dyDescent="0.45">
      <c r="B495" t="s">
        <v>24</v>
      </c>
      <c r="C495" t="s">
        <v>178</v>
      </c>
      <c r="D495" t="s">
        <v>737</v>
      </c>
      <c r="E495" t="s">
        <v>131</v>
      </c>
    </row>
    <row r="496" spans="1:7" x14ac:dyDescent="0.45">
      <c r="B496" t="s">
        <v>24</v>
      </c>
      <c r="C496" t="s">
        <v>25</v>
      </c>
      <c r="D496" t="s">
        <v>738</v>
      </c>
      <c r="E496" t="s">
        <v>131</v>
      </c>
    </row>
    <row r="497" spans="1:9" x14ac:dyDescent="0.45">
      <c r="B497" t="s">
        <v>24</v>
      </c>
      <c r="C497" t="s">
        <v>226</v>
      </c>
      <c r="D497" t="s">
        <v>739</v>
      </c>
      <c r="E497" t="s">
        <v>131</v>
      </c>
      <c r="G497" t="s">
        <v>231</v>
      </c>
    </row>
    <row r="498" spans="1:9" x14ac:dyDescent="0.45">
      <c r="B498" t="s">
        <v>24</v>
      </c>
      <c r="C498" t="s">
        <v>25</v>
      </c>
      <c r="D498" t="s">
        <v>740</v>
      </c>
      <c r="E498" t="s">
        <v>57</v>
      </c>
    </row>
    <row r="499" spans="1:9" x14ac:dyDescent="0.45">
      <c r="B499" t="s">
        <v>24</v>
      </c>
      <c r="C499" t="s">
        <v>25</v>
      </c>
      <c r="D499" t="s">
        <v>741</v>
      </c>
      <c r="E499" t="s">
        <v>131</v>
      </c>
    </row>
    <row r="500" spans="1:9" x14ac:dyDescent="0.45">
      <c r="B500" t="s">
        <v>24</v>
      </c>
      <c r="C500" t="s">
        <v>25</v>
      </c>
      <c r="D500" t="s">
        <v>742</v>
      </c>
      <c r="E500" t="s">
        <v>131</v>
      </c>
    </row>
    <row r="501" spans="1:9" x14ac:dyDescent="0.45">
      <c r="B501" t="s">
        <v>24</v>
      </c>
      <c r="C501" t="s">
        <v>25</v>
      </c>
      <c r="D501" t="s">
        <v>743</v>
      </c>
      <c r="E501" t="s">
        <v>131</v>
      </c>
    </row>
    <row r="502" spans="1:9" x14ac:dyDescent="0.45">
      <c r="B502" t="s">
        <v>24</v>
      </c>
      <c r="C502" t="s">
        <v>25</v>
      </c>
      <c r="D502" t="s">
        <v>744</v>
      </c>
      <c r="E502" t="s">
        <v>131</v>
      </c>
    </row>
    <row r="503" spans="1:9" x14ac:dyDescent="0.45">
      <c r="B503" t="s">
        <v>24</v>
      </c>
      <c r="C503" t="s">
        <v>178</v>
      </c>
      <c r="D503" t="s">
        <v>745</v>
      </c>
      <c r="E503" t="s">
        <v>131</v>
      </c>
    </row>
    <row r="504" spans="1:9" x14ac:dyDescent="0.45">
      <c r="B504" t="s">
        <v>24</v>
      </c>
      <c r="C504" t="s">
        <v>25</v>
      </c>
      <c r="D504" t="s">
        <v>746</v>
      </c>
      <c r="E504" t="s">
        <v>131</v>
      </c>
    </row>
    <row r="505" spans="1:9" x14ac:dyDescent="0.45">
      <c r="B505" t="s">
        <v>305</v>
      </c>
      <c r="C505" t="s">
        <v>25</v>
      </c>
      <c r="D505" t="s">
        <v>747</v>
      </c>
      <c r="E505" t="s">
        <v>27</v>
      </c>
    </row>
    <row r="506" spans="1:9" x14ac:dyDescent="0.45">
      <c r="B506" t="s">
        <v>24</v>
      </c>
      <c r="C506" t="s">
        <v>25</v>
      </c>
      <c r="D506" t="s">
        <v>748</v>
      </c>
      <c r="E506" t="s">
        <v>131</v>
      </c>
    </row>
    <row r="507" spans="1:9" x14ac:dyDescent="0.45">
      <c r="B507" t="s">
        <v>24</v>
      </c>
      <c r="C507" t="s">
        <v>178</v>
      </c>
      <c r="D507" t="s">
        <v>749</v>
      </c>
      <c r="E507" t="s">
        <v>131</v>
      </c>
      <c r="F507" t="s">
        <v>221</v>
      </c>
    </row>
    <row r="508" spans="1:9" x14ac:dyDescent="0.45">
      <c r="B508" t="s">
        <v>24</v>
      </c>
      <c r="C508" t="s">
        <v>25</v>
      </c>
      <c r="D508" t="s">
        <v>750</v>
      </c>
      <c r="E508" t="s">
        <v>131</v>
      </c>
      <c r="F508" t="s">
        <v>221</v>
      </c>
    </row>
    <row r="509" spans="1:9" x14ac:dyDescent="0.45">
      <c r="B509" t="s">
        <v>24</v>
      </c>
      <c r="C509" t="s">
        <v>25</v>
      </c>
      <c r="D509" t="s">
        <v>751</v>
      </c>
      <c r="E509" t="s">
        <v>245</v>
      </c>
      <c r="F509" t="s">
        <v>221</v>
      </c>
      <c r="H509" t="s">
        <v>211</v>
      </c>
      <c r="I509">
        <v>30</v>
      </c>
    </row>
    <row r="510" spans="1:9" x14ac:dyDescent="0.45">
      <c r="A510" t="s">
        <v>46</v>
      </c>
      <c r="B510" t="s">
        <v>24</v>
      </c>
      <c r="C510" t="s">
        <v>358</v>
      </c>
      <c r="D510" t="s">
        <v>752</v>
      </c>
      <c r="E510" t="s">
        <v>27</v>
      </c>
      <c r="F510" t="s">
        <v>256</v>
      </c>
    </row>
    <row r="511" spans="1:9" x14ac:dyDescent="0.45">
      <c r="B511" t="s">
        <v>24</v>
      </c>
      <c r="C511" t="s">
        <v>358</v>
      </c>
      <c r="D511" t="s">
        <v>753</v>
      </c>
      <c r="E511" t="s">
        <v>27</v>
      </c>
    </row>
    <row r="512" spans="1:9" x14ac:dyDescent="0.45">
      <c r="A512" t="s">
        <v>69</v>
      </c>
      <c r="B512" t="s">
        <v>24</v>
      </c>
      <c r="C512" t="s">
        <v>25</v>
      </c>
      <c r="D512" t="s">
        <v>754</v>
      </c>
      <c r="E512" t="s">
        <v>131</v>
      </c>
    </row>
    <row r="513" spans="1:6" x14ac:dyDescent="0.45">
      <c r="B513" t="s">
        <v>24</v>
      </c>
      <c r="C513" t="s">
        <v>25</v>
      </c>
      <c r="D513" t="s">
        <v>755</v>
      </c>
      <c r="E513" t="s">
        <v>245</v>
      </c>
    </row>
    <row r="514" spans="1:6" x14ac:dyDescent="0.45">
      <c r="A514" t="s">
        <v>46</v>
      </c>
      <c r="B514" t="s">
        <v>24</v>
      </c>
      <c r="C514" t="s">
        <v>25</v>
      </c>
      <c r="D514" t="s">
        <v>756</v>
      </c>
      <c r="E514" t="s">
        <v>131</v>
      </c>
    </row>
    <row r="515" spans="1:6" x14ac:dyDescent="0.45">
      <c r="B515" t="s">
        <v>42</v>
      </c>
      <c r="C515" t="s">
        <v>43</v>
      </c>
      <c r="D515" t="s">
        <v>757</v>
      </c>
      <c r="E515" t="s">
        <v>131</v>
      </c>
      <c r="F515" t="s">
        <v>221</v>
      </c>
    </row>
    <row r="516" spans="1:6" x14ac:dyDescent="0.45">
      <c r="B516" t="s">
        <v>24</v>
      </c>
      <c r="C516" t="s">
        <v>758</v>
      </c>
      <c r="D516" t="s">
        <v>759</v>
      </c>
      <c r="E516" t="s">
        <v>131</v>
      </c>
      <c r="F516" t="s">
        <v>219</v>
      </c>
    </row>
    <row r="517" spans="1:6" x14ac:dyDescent="0.45">
      <c r="B517" t="s">
        <v>24</v>
      </c>
      <c r="C517" t="s">
        <v>25</v>
      </c>
      <c r="D517" t="s">
        <v>760</v>
      </c>
      <c r="E517" t="s">
        <v>131</v>
      </c>
      <c r="F517" t="s">
        <v>221</v>
      </c>
    </row>
    <row r="518" spans="1:6" x14ac:dyDescent="0.45">
      <c r="B518" t="s">
        <v>24</v>
      </c>
      <c r="C518" t="s">
        <v>25</v>
      </c>
      <c r="D518" t="s">
        <v>761</v>
      </c>
      <c r="E518" t="s">
        <v>131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Parameters</vt:lpstr>
      <vt:lpstr>Capacity</vt:lpstr>
      <vt:lpstr>GITHUB_EPICS</vt:lpstr>
      <vt:lpstr>EPICS_ESTIMATE</vt:lpstr>
      <vt:lpstr>EPICS_PERIOD</vt:lpstr>
      <vt:lpstr>EPICS_STATUS</vt:lpstr>
      <vt:lpstr>EPICS_TYPE</vt:lpstr>
      <vt:lpstr>PERIODS</vt:lpstr>
      <vt:lpstr>PLANNING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Neil Smyth</dc:creator>
  <dc:description/>
  <cp:lastModifiedBy>Neil Smyth</cp:lastModifiedBy>
  <cp:revision>1</cp:revision>
  <dcterms:created xsi:type="dcterms:W3CDTF">2023-01-30T14:25:48Z</dcterms:created>
  <dcterms:modified xsi:type="dcterms:W3CDTF">2025-10-02T13:07:48Z</dcterms:modified>
  <dc:language>en-US</dc:language>
</cp:coreProperties>
</file>